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16"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d.docs.live.net/a0f27328f24b02d7/Desktop/"/>
    </mc:Choice>
  </mc:AlternateContent>
  <xr:revisionPtr revIDLastSave="0" documentId="8_{121B2DDB-4961-4AF8-9188-A73664AC21FA}" xr6:coauthVersionLast="47" xr6:coauthVersionMax="47" xr10:uidLastSave="{00000000-0000-0000-0000-000000000000}"/>
  <bookViews>
    <workbookView xWindow="-98" yWindow="-98" windowWidth="21795" windowHeight="12975" xr2:uid="{94A9BC3D-E5F4-4084-8576-B7D6DB6ED6D3}"/>
  </bookViews>
  <sheets>
    <sheet name="DASHBOARD" sheetId="2" r:id="rId1"/>
    <sheet name="RAW DATA" sheetId="1" r:id="rId2"/>
  </sheets>
  <definedNames>
    <definedName name="Slicer_Region">#N/A</definedName>
  </definedNames>
  <calcPr calcId="191028"/>
  <pivotCaches>
    <pivotCache cacheId="1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1" l="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2" i="1"/>
</calcChain>
</file>

<file path=xl/sharedStrings.xml><?xml version="1.0" encoding="utf-8"?>
<sst xmlns="http://schemas.openxmlformats.org/spreadsheetml/2006/main" count="461" uniqueCount="296">
  <si>
    <t>Sales Executive</t>
  </si>
  <si>
    <t xml:space="preserve">Total sales </t>
  </si>
  <si>
    <t>Target Hit % Wise</t>
  </si>
  <si>
    <t>Away From Target % Wise</t>
  </si>
  <si>
    <t>Fatima</t>
  </si>
  <si>
    <t>Alpha</t>
  </si>
  <si>
    <t>Ahil</t>
  </si>
  <si>
    <t>Calpa</t>
  </si>
  <si>
    <t>Hary</t>
  </si>
  <si>
    <t>Sahil</t>
  </si>
  <si>
    <t>Razdaan</t>
  </si>
  <si>
    <t>Swati</t>
  </si>
  <si>
    <t>Sazi</t>
  </si>
  <si>
    <t>Sneha</t>
  </si>
  <si>
    <t>Aditya</t>
  </si>
  <si>
    <t>Kashish</t>
  </si>
  <si>
    <t>Vivaan</t>
  </si>
  <si>
    <t>Ansh</t>
  </si>
  <si>
    <t>Yash</t>
  </si>
  <si>
    <t>Sazib</t>
  </si>
  <si>
    <t>Arjun</t>
  </si>
  <si>
    <t>Komal</t>
  </si>
  <si>
    <t>Kabir</t>
  </si>
  <si>
    <t>Emp Code</t>
  </si>
  <si>
    <t>Region</t>
  </si>
  <si>
    <t>Day1</t>
  </si>
  <si>
    <t>Day2</t>
  </si>
  <si>
    <t>Day3</t>
  </si>
  <si>
    <t>Total Sales</t>
  </si>
  <si>
    <t>Target</t>
  </si>
  <si>
    <t>Target Hit%</t>
  </si>
  <si>
    <t>Away From Target %</t>
  </si>
  <si>
    <t>Mum-TCL001</t>
  </si>
  <si>
    <t>Rosi</t>
  </si>
  <si>
    <t>Mumbai</t>
  </si>
  <si>
    <t>Mum-TCL002</t>
  </si>
  <si>
    <t>Rayan</t>
  </si>
  <si>
    <t>Delhi</t>
  </si>
  <si>
    <t>Mum-TCL003</t>
  </si>
  <si>
    <t>Raj verma</t>
  </si>
  <si>
    <t>Nagpur</t>
  </si>
  <si>
    <t>Mum-TCL004</t>
  </si>
  <si>
    <t>Devendra</t>
  </si>
  <si>
    <t>Chennai</t>
  </si>
  <si>
    <t>Mum-TCL005</t>
  </si>
  <si>
    <t>Rehan</t>
  </si>
  <si>
    <t>Pune</t>
  </si>
  <si>
    <t>Mum-TCL006</t>
  </si>
  <si>
    <t>Ehtesham</t>
  </si>
  <si>
    <t>Patna</t>
  </si>
  <si>
    <t>Mum-TCL007</t>
  </si>
  <si>
    <t>Sonia</t>
  </si>
  <si>
    <t>Ranchi</t>
  </si>
  <si>
    <t>Mum-TCL008</t>
  </si>
  <si>
    <t>Adil</t>
  </si>
  <si>
    <t>Surat</t>
  </si>
  <si>
    <t>Mum-TCL009</t>
  </si>
  <si>
    <t>Mum-TCL010</t>
  </si>
  <si>
    <t>Zohan</t>
  </si>
  <si>
    <t>Mum-TCL011</t>
  </si>
  <si>
    <t>Yazdan</t>
  </si>
  <si>
    <t>Mum-TCL012</t>
  </si>
  <si>
    <t>Zehra</t>
  </si>
  <si>
    <t>Mum-TCL013</t>
  </si>
  <si>
    <t>Mum-TCL014</t>
  </si>
  <si>
    <t>Rahul</t>
  </si>
  <si>
    <t>Mum-TCL015</t>
  </si>
  <si>
    <t>Prem</t>
  </si>
  <si>
    <t>Mum-TCL016</t>
  </si>
  <si>
    <t>Mum-TCL017</t>
  </si>
  <si>
    <t>Sakib</t>
  </si>
  <si>
    <t>Mum-TCL018</t>
  </si>
  <si>
    <t>Hadiya</t>
  </si>
  <si>
    <t>Mum-TCL019</t>
  </si>
  <si>
    <t>Akhil</t>
  </si>
  <si>
    <t>Mum-TCL020</t>
  </si>
  <si>
    <t>Ahraam</t>
  </si>
  <si>
    <t>Mum-TCL021</t>
  </si>
  <si>
    <t>Mum-TCL022</t>
  </si>
  <si>
    <t>Sohail</t>
  </si>
  <si>
    <t>Mum-TCL023</t>
  </si>
  <si>
    <t>Davi</t>
  </si>
  <si>
    <t>Mum-TCL024</t>
  </si>
  <si>
    <t>Savi</t>
  </si>
  <si>
    <t>Mum-TCL025</t>
  </si>
  <si>
    <t>Preetam</t>
  </si>
  <si>
    <t>Mum-TCL026</t>
  </si>
  <si>
    <t>Mr.Ravi</t>
  </si>
  <si>
    <t>Mum-TCL027</t>
  </si>
  <si>
    <t>Chi</t>
  </si>
  <si>
    <t>Mum-TCL028</t>
  </si>
  <si>
    <t>Venu</t>
  </si>
  <si>
    <t>Mum-TCL029</t>
  </si>
  <si>
    <t>Mum-TCL030</t>
  </si>
  <si>
    <t>Potter</t>
  </si>
  <si>
    <t>Mum-TCL031</t>
  </si>
  <si>
    <t>Agha</t>
  </si>
  <si>
    <t>Mum-TCL032</t>
  </si>
  <si>
    <t>Danish</t>
  </si>
  <si>
    <t>Mum-TCL033</t>
  </si>
  <si>
    <t>Ayeza</t>
  </si>
  <si>
    <t>Mum-TCL034</t>
  </si>
  <si>
    <t>Yumna</t>
  </si>
  <si>
    <t>Mum-TCL035</t>
  </si>
  <si>
    <t>Laiba</t>
  </si>
  <si>
    <t>Mum-TCL036</t>
  </si>
  <si>
    <t>Sury</t>
  </si>
  <si>
    <t>Mum-TCL037</t>
  </si>
  <si>
    <t>Mum-TCL038</t>
  </si>
  <si>
    <t>Mum-TCL039</t>
  </si>
  <si>
    <t>Mum-TCL040</t>
  </si>
  <si>
    <t>Soman</t>
  </si>
  <si>
    <t>Mum-TCL041</t>
  </si>
  <si>
    <t>Mum-TCL042</t>
  </si>
  <si>
    <t>Shagun</t>
  </si>
  <si>
    <t>Mum-TCL043</t>
  </si>
  <si>
    <t>Aarav</t>
  </si>
  <si>
    <t>Mum-TCL044</t>
  </si>
  <si>
    <t>Mum-TCL045</t>
  </si>
  <si>
    <t>Mum-TCL046</t>
  </si>
  <si>
    <t>Mum-TCL047</t>
  </si>
  <si>
    <t>Aryan</t>
  </si>
  <si>
    <t>Mum-TCL048</t>
  </si>
  <si>
    <t>Rohan</t>
  </si>
  <si>
    <t>Mum-TCL049</t>
  </si>
  <si>
    <t>Mum-TCL050</t>
  </si>
  <si>
    <t>Karan</t>
  </si>
  <si>
    <t>Mum-TCL051</t>
  </si>
  <si>
    <t>Varun</t>
  </si>
  <si>
    <t>Mum-TCL052</t>
  </si>
  <si>
    <t>Mum-TCL053</t>
  </si>
  <si>
    <t>Ayush</t>
  </si>
  <si>
    <t>Mum-TCL054</t>
  </si>
  <si>
    <t>Akash</t>
  </si>
  <si>
    <t>Mum-TCL055</t>
  </si>
  <si>
    <t>Aman</t>
  </si>
  <si>
    <t>Mum-TCL056</t>
  </si>
  <si>
    <t>Abhishek</t>
  </si>
  <si>
    <t>Mum-TCL057</t>
  </si>
  <si>
    <t>Rohit</t>
  </si>
  <si>
    <t>Mum-TCL058</t>
  </si>
  <si>
    <t>Mohit</t>
  </si>
  <si>
    <t>Mum-TCL059</t>
  </si>
  <si>
    <t>Nikhil</t>
  </si>
  <si>
    <t>Mum-TCL060</t>
  </si>
  <si>
    <t>Mum-TCL061</t>
  </si>
  <si>
    <t>Mum-TCL062</t>
  </si>
  <si>
    <t>Harsh</t>
  </si>
  <si>
    <t>Mum-TCL063</t>
  </si>
  <si>
    <t>Raj</t>
  </si>
  <si>
    <t>Mum-TCL064</t>
  </si>
  <si>
    <t>Shivam</t>
  </si>
  <si>
    <t>Mum-TCL065</t>
  </si>
  <si>
    <t>Ankit</t>
  </si>
  <si>
    <t>Mum-TCL066</t>
  </si>
  <si>
    <t>Sumit</t>
  </si>
  <si>
    <t>Mum-TCL067</t>
  </si>
  <si>
    <t>Pranav</t>
  </si>
  <si>
    <t>Mum-TCL068</t>
  </si>
  <si>
    <t>Dhruv</t>
  </si>
  <si>
    <t>Mum-TCL069</t>
  </si>
  <si>
    <t>Mum-TCL070</t>
  </si>
  <si>
    <t>Ayaan</t>
  </si>
  <si>
    <t>Mum-TCL071</t>
  </si>
  <si>
    <t>Ishaan</t>
  </si>
  <si>
    <t>Mum-TCL072</t>
  </si>
  <si>
    <t>Dev</t>
  </si>
  <si>
    <t>Mum-TCL073</t>
  </si>
  <si>
    <t>Saanvi</t>
  </si>
  <si>
    <t>Mum-TCL074</t>
  </si>
  <si>
    <t>Ananya</t>
  </si>
  <si>
    <t>Mum-TCL075</t>
  </si>
  <si>
    <t>Aadhya</t>
  </si>
  <si>
    <t>Mum-TCL076</t>
  </si>
  <si>
    <t>Aaradhya</t>
  </si>
  <si>
    <t>Mum-TCL077</t>
  </si>
  <si>
    <t>Diya</t>
  </si>
  <si>
    <t>Mum-TCL078</t>
  </si>
  <si>
    <t>Siya</t>
  </si>
  <si>
    <t>Mum-TCL079</t>
  </si>
  <si>
    <t>Anika</t>
  </si>
  <si>
    <t>Mum-TCL080</t>
  </si>
  <si>
    <t>Riya</t>
  </si>
  <si>
    <t>Mum-TCL081</t>
  </si>
  <si>
    <t>Priya</t>
  </si>
  <si>
    <t>Mum-TCL082</t>
  </si>
  <si>
    <t>Mum-TCL083</t>
  </si>
  <si>
    <t>Neha</t>
  </si>
  <si>
    <t>Mum-TCL084</t>
  </si>
  <si>
    <t>Pooja</t>
  </si>
  <si>
    <t>Mum-TCL085</t>
  </si>
  <si>
    <t>Simran</t>
  </si>
  <si>
    <t>Mum-TCL086</t>
  </si>
  <si>
    <t>Nisha</t>
  </si>
  <si>
    <t>Mum-TCL087</t>
  </si>
  <si>
    <t>Isha</t>
  </si>
  <si>
    <t>Mum-TCL088</t>
  </si>
  <si>
    <t>Aisha</t>
  </si>
  <si>
    <t>Mum-TCL089</t>
  </si>
  <si>
    <t>Mehak</t>
  </si>
  <si>
    <t>Mum-TCL090</t>
  </si>
  <si>
    <t>Muskan</t>
  </si>
  <si>
    <t>Mum-TCL091</t>
  </si>
  <si>
    <t>Khushi</t>
  </si>
  <si>
    <t>Mum-TCL092</t>
  </si>
  <si>
    <t>Sakshi</t>
  </si>
  <si>
    <t>Mum-TCL093</t>
  </si>
  <si>
    <t>Shreya</t>
  </si>
  <si>
    <t>Mum-TCL094</t>
  </si>
  <si>
    <t>Anjali</t>
  </si>
  <si>
    <t>Mum-TCL095</t>
  </si>
  <si>
    <t>Kritika</t>
  </si>
  <si>
    <t>Mum-TCL096</t>
  </si>
  <si>
    <t>Palak</t>
  </si>
  <si>
    <t>Mum-TCL097</t>
  </si>
  <si>
    <t>Tanya</t>
  </si>
  <si>
    <t>Mum-TCL098</t>
  </si>
  <si>
    <t>Radhika</t>
  </si>
  <si>
    <t>Mum-TCL099</t>
  </si>
  <si>
    <t>Nandini</t>
  </si>
  <si>
    <t>Mum-TCL100</t>
  </si>
  <si>
    <t>Kavya</t>
  </si>
  <si>
    <t>Mum-TCL101</t>
  </si>
  <si>
    <t>Mahi</t>
  </si>
  <si>
    <t>Mum-TCL102</t>
  </si>
  <si>
    <t>Pari</t>
  </si>
  <si>
    <t>Mum-TCL103</t>
  </si>
  <si>
    <t>Myra</t>
  </si>
  <si>
    <t>Mum-TCL104</t>
  </si>
  <si>
    <t>Kiara</t>
  </si>
  <si>
    <t>Mum-TCL105</t>
  </si>
  <si>
    <t>Avni</t>
  </si>
  <si>
    <t>Mum-TCL106</t>
  </si>
  <si>
    <t>Navya</t>
  </si>
  <si>
    <t>Mum-TCL107</t>
  </si>
  <si>
    <t>Ishita</t>
  </si>
  <si>
    <t>Mum-TCL108</t>
  </si>
  <si>
    <t>Shruti</t>
  </si>
  <si>
    <t>Mum-TCL109</t>
  </si>
  <si>
    <t>Mum-TCL110</t>
  </si>
  <si>
    <t>Mum-TCL111</t>
  </si>
  <si>
    <t>Divya</t>
  </si>
  <si>
    <t>Mum-TCL112</t>
  </si>
  <si>
    <t>Preeti</t>
  </si>
  <si>
    <t>Mum-TCL113</t>
  </si>
  <si>
    <t>Pihu</t>
  </si>
  <si>
    <t>Mum-TCL114</t>
  </si>
  <si>
    <t>Tanu</t>
  </si>
  <si>
    <t>Mum-TCL115</t>
  </si>
  <si>
    <t>Sanya</t>
  </si>
  <si>
    <t>Mum-TCL116</t>
  </si>
  <si>
    <t>Heena</t>
  </si>
  <si>
    <t>Mum-TCL117</t>
  </si>
  <si>
    <t>Harman</t>
  </si>
  <si>
    <t>Mum-TCL118</t>
  </si>
  <si>
    <t>Gita</t>
  </si>
  <si>
    <t>Mum-TCL119</t>
  </si>
  <si>
    <t>Babita</t>
  </si>
  <si>
    <t>Mum-TCL120</t>
  </si>
  <si>
    <t>Arishfa</t>
  </si>
  <si>
    <t>Mum-TCL121</t>
  </si>
  <si>
    <t>Kanika</t>
  </si>
  <si>
    <t>Mum-TCL122</t>
  </si>
  <si>
    <t>Farhana</t>
  </si>
  <si>
    <t>Mum-TCL123</t>
  </si>
  <si>
    <t>Jashmin</t>
  </si>
  <si>
    <t>Mum-TCL124</t>
  </si>
  <si>
    <t>Rubina</t>
  </si>
  <si>
    <t>Mum-TCL125</t>
  </si>
  <si>
    <t>Helly</t>
  </si>
  <si>
    <t>Mum-TCL126</t>
  </si>
  <si>
    <t>Angad</t>
  </si>
  <si>
    <t>Mum-TCL127</t>
  </si>
  <si>
    <t>Ayushman</t>
  </si>
  <si>
    <t>Mum-TCL128</t>
  </si>
  <si>
    <t>Siwali</t>
  </si>
  <si>
    <t>Mum-TCL129</t>
  </si>
  <si>
    <t>Shivani</t>
  </si>
  <si>
    <t>Mum-TCL130</t>
  </si>
  <si>
    <t>Sandhya</t>
  </si>
  <si>
    <t>Mum-TCL131</t>
  </si>
  <si>
    <t>Tapasya</t>
  </si>
  <si>
    <t>Mum-TCL132</t>
  </si>
  <si>
    <t>Mum-TCL133</t>
  </si>
  <si>
    <t>Mum-TCL134</t>
  </si>
  <si>
    <t>Mum-TCL135</t>
  </si>
  <si>
    <t>Kamaljeet</t>
  </si>
  <si>
    <t>Mum-TCL136</t>
  </si>
  <si>
    <t>Sohanjeet</t>
  </si>
  <si>
    <t>Mum-TCL137</t>
  </si>
  <si>
    <t>Ram</t>
  </si>
  <si>
    <t>Mum-TCL138</t>
  </si>
  <si>
    <t>Mum-TCL139</t>
  </si>
  <si>
    <t>Mum-TCL140</t>
  </si>
  <si>
    <t>Sumer</t>
  </si>
  <si>
    <t>Mum-TCL141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</si>
</sst>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font>
      <sz val="11"/>
      <color theme="1"/>
      <name val="Calibri"/>
      <family val="2"/>
      <scheme val="minor"/>
    </font>
    <font>
      <sz val="8"/>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9">
    <xf numFmtId="0" fontId="0" fillId="0" borderId="0" xfId="0"/>
    <xf numFmtId="2" fontId="0" fillId="0" borderId="0" xfId="0" applyNumberFormat="1"/>
    <xf numFmtId="1" fontId="0" fillId="0" borderId="0" xfId="0" applyNumberFormat="1"/>
    <xf numFmtId="10"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2" borderId="0" xfId="0" applyFill="1"/>
    <xf numFmtId="0" fontId="0" fillId="0" borderId="0" xfId="0" applyFill="1"/>
  </cellXfs>
  <cellStyles count="1">
    <cellStyle name="Normal" xfId="0" builtinId="0"/>
  </cellStyles>
  <dxfs count="1">
    <dxf>
      <fill>
        <patternFill>
          <bgColor theme="1" tint="0.24994659260841701"/>
        </patternFill>
      </fill>
    </dxf>
  </dxfs>
  <tableStyles count="2" defaultTableStyle="TableStyleMedium2" defaultPivotStyle="PivotStyleLight16">
    <tableStyle name="Slicer Style 1" pivot="0" table="0" count="5" xr9:uid="{F1B13065-9DE6-41A3-BADB-A0BB7EF572D3}">
      <tableStyleElement type="wholeTable" dxfId="0"/>
    </tableStyle>
    <tableStyle name="Slicer Style 2" pivot="0" table="0" count="0" xr9:uid="{D065D130-FD9F-43D1-9CB2-50B155D626DD}"/>
  </tableStyles>
  <extLst>
    <ext xmlns:x14="http://schemas.microsoft.com/office/spreadsheetml/2009/9/main" uri="{46F421CA-312F-682f-3DD2-61675219B42D}">
      <x14:dxfs count="4">
        <dxf>
          <fill>
            <patternFill>
              <bgColor theme="7" tint="0.39994506668294322"/>
            </patternFill>
          </fill>
        </dxf>
        <dxf>
          <fill>
            <patternFill>
              <bgColor theme="5" tint="0.39994506668294322"/>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1.xlsm]DASHBOARD!PivotTable1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4635225783712"/>
          <c:y val="3.6890630277870685E-2"/>
          <c:w val="0.81017146968304088"/>
          <c:h val="0.88405801912669213"/>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Fatima</c:v>
                </c:pt>
                <c:pt idx="1">
                  <c:v>Hary</c:v>
                </c:pt>
                <c:pt idx="2">
                  <c:v>Swati</c:v>
                </c:pt>
                <c:pt idx="3">
                  <c:v>Kashish</c:v>
                </c:pt>
                <c:pt idx="4">
                  <c:v>Sazib</c:v>
                </c:pt>
              </c:strCache>
            </c:strRef>
          </c:cat>
          <c:val>
            <c:numRef>
              <c:f>DASHBOARD!$B$4:$B$8</c:f>
              <c:numCache>
                <c:formatCode>General</c:formatCode>
                <c:ptCount val="5"/>
                <c:pt idx="0">
                  <c:v>256.60439560439562</c:v>
                </c:pt>
                <c:pt idx="1">
                  <c:v>252</c:v>
                </c:pt>
                <c:pt idx="2">
                  <c:v>225.84615384615381</c:v>
                </c:pt>
                <c:pt idx="3">
                  <c:v>222.6813186813186</c:v>
                </c:pt>
                <c:pt idx="4">
                  <c:v>240.62637362637361</c:v>
                </c:pt>
              </c:numCache>
            </c:numRef>
          </c:val>
          <c:extLst>
            <c:ext xmlns:c16="http://schemas.microsoft.com/office/drawing/2014/chart" uri="{C3380CC4-5D6E-409C-BE32-E72D297353CC}">
              <c16:uniqueId val="{00000000-EB6F-4689-9BD0-ADD5D9F4E09D}"/>
            </c:ext>
          </c:extLst>
        </c:ser>
        <c:dLbls>
          <c:showLegendKey val="0"/>
          <c:showVal val="0"/>
          <c:showCatName val="0"/>
          <c:showSerName val="0"/>
          <c:showPercent val="0"/>
          <c:showBubbleSize val="0"/>
        </c:dLbls>
        <c:gapWidth val="182"/>
        <c:axId val="1558365600"/>
        <c:axId val="1558370176"/>
      </c:barChart>
      <c:catAx>
        <c:axId val="15583656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370176"/>
        <c:crosses val="autoZero"/>
        <c:auto val="1"/>
        <c:lblAlgn val="ctr"/>
        <c:lblOffset val="100"/>
        <c:noMultiLvlLbl val="0"/>
      </c:catAx>
      <c:valAx>
        <c:axId val="1558370176"/>
        <c:scaling>
          <c:orientation val="minMax"/>
        </c:scaling>
        <c:delete val="1"/>
        <c:axPos val="b"/>
        <c:numFmt formatCode="General" sourceLinked="1"/>
        <c:majorTickMark val="none"/>
        <c:minorTickMark val="none"/>
        <c:tickLblPos val="nextTo"/>
        <c:crossAx val="1558365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2775528534159744"/>
          <c:y val="5.820108244847829E-2"/>
          <c:w val="0.72707479868222125"/>
          <c:h val="0.88359783510304346"/>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96D-4802-AA26-CE11DF33768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96D-4802-AA26-CE11DF33768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96D-4802-AA26-CE11DF33768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96D-4802-AA26-CE11DF337683}"/>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96D-4802-AA26-CE11DF33768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Ahil</c:v>
                </c:pt>
                <c:pt idx="1">
                  <c:v>Sahil</c:v>
                </c:pt>
                <c:pt idx="2">
                  <c:v>Sneha</c:v>
                </c:pt>
                <c:pt idx="3">
                  <c:v>Ansh</c:v>
                </c:pt>
                <c:pt idx="4">
                  <c:v>Komal</c:v>
                </c:pt>
              </c:strCache>
            </c:strRef>
          </c:cat>
          <c:val>
            <c:numRef>
              <c:f>DASHBOARD!$H$4:$H$8</c:f>
              <c:numCache>
                <c:formatCode>General</c:formatCode>
                <c:ptCount val="5"/>
                <c:pt idx="0">
                  <c:v>77.778021978021954</c:v>
                </c:pt>
                <c:pt idx="1">
                  <c:v>123.62087912087908</c:v>
                </c:pt>
                <c:pt idx="2">
                  <c:v>85.027472527472526</c:v>
                </c:pt>
                <c:pt idx="3">
                  <c:v>82.035164835164835</c:v>
                </c:pt>
                <c:pt idx="4">
                  <c:v>96.652747252747247</c:v>
                </c:pt>
              </c:numCache>
            </c:numRef>
          </c:val>
          <c:extLst>
            <c:ext xmlns:c16="http://schemas.microsoft.com/office/drawing/2014/chart" uri="{C3380CC4-5D6E-409C-BE32-E72D297353CC}">
              <c16:uniqueId val="{00000000-61A1-4319-A036-7200268B447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layout>
            <c:manualLayout>
              <c:x val="7.5757598352898577E-3"/>
              <c:y val="-2.1164021164021211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layout>
            <c:manualLayout>
              <c:x val="3.7878799176449289E-3"/>
              <c:y val="5.2910052910052907E-3"/>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marker>
          <c:symbol val="none"/>
        </c:marker>
      </c:pivotFmt>
      <c:pivotFmt>
        <c:idx val="7"/>
        <c:marker>
          <c:symbol val="none"/>
        </c:marker>
      </c:pivotFmt>
    </c:pivotFmts>
    <c:plotArea>
      <c:layout>
        <c:manualLayout>
          <c:layoutTarget val="inner"/>
          <c:xMode val="edge"/>
          <c:yMode val="edge"/>
          <c:x val="4.545455901173915E-2"/>
          <c:y val="5.9139784946236562E-2"/>
          <c:w val="0.91666664181181157"/>
          <c:h val="0.8161383456100245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Pt>
            <c:idx val="0"/>
            <c:marker>
              <c:symbol val="none"/>
            </c:marker>
            <c:bubble3D val="0"/>
            <c:spPr>
              <a:ln w="28575" cap="rnd">
                <a:solidFill>
                  <a:schemeClr val="accent1"/>
                </a:solidFill>
                <a:round/>
              </a:ln>
              <a:effectLst/>
            </c:spPr>
            <c:extLst>
              <c:ext xmlns:c16="http://schemas.microsoft.com/office/drawing/2014/chart" uri="{C3380CC4-5D6E-409C-BE32-E72D297353CC}">
                <c16:uniqueId val="{00000001-3DB3-41FA-8184-74C5A7690C95}"/>
              </c:ext>
            </c:extLst>
          </c:dPt>
          <c:dPt>
            <c:idx val="1"/>
            <c:marker>
              <c:symbol val="none"/>
            </c:marker>
            <c:bubble3D val="0"/>
            <c:extLst>
              <c:ext xmlns:c16="http://schemas.microsoft.com/office/drawing/2014/chart" uri="{C3380CC4-5D6E-409C-BE32-E72D297353CC}">
                <c16:uniqueId val="{00000000-44C9-4A5E-A891-C7CA994DFA9D}"/>
              </c:ext>
            </c:extLst>
          </c:dPt>
          <c:dPt>
            <c:idx val="2"/>
            <c:marker>
              <c:symbol val="none"/>
            </c:marker>
            <c:bubble3D val="0"/>
            <c:extLst>
              <c:ext xmlns:c16="http://schemas.microsoft.com/office/drawing/2014/chart" uri="{C3380CC4-5D6E-409C-BE32-E72D297353CC}">
                <c16:uniqueId val="{00000001-44C9-4A5E-A891-C7CA994DFA9D}"/>
              </c:ext>
            </c:extLst>
          </c:dPt>
          <c:dLbls>
            <c:dLbl>
              <c:idx val="0"/>
              <c:layout>
                <c:manualLayout>
                  <c:x val="3.7878799176449289E-3"/>
                  <c:y val="5.291005291005290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DB3-41FA-8184-74C5A7690C95}"/>
                </c:ext>
              </c:extLst>
            </c:dLbl>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Calpa</c:v>
                </c:pt>
                <c:pt idx="1">
                  <c:v>Razdaan</c:v>
                </c:pt>
                <c:pt idx="2">
                  <c:v>Aditya</c:v>
                </c:pt>
                <c:pt idx="3">
                  <c:v>Yash</c:v>
                </c:pt>
                <c:pt idx="4">
                  <c:v>Kabir</c:v>
                </c:pt>
              </c:strCache>
            </c:strRef>
          </c:cat>
          <c:val>
            <c:numRef>
              <c:f>DASHBOARD!$K$4:$K$8</c:f>
              <c:numCache>
                <c:formatCode>General</c:formatCode>
                <c:ptCount val="5"/>
                <c:pt idx="0">
                  <c:v>78.599999999999994</c:v>
                </c:pt>
                <c:pt idx="1">
                  <c:v>78.384615384615387</c:v>
                </c:pt>
                <c:pt idx="2">
                  <c:v>70.8</c:v>
                </c:pt>
                <c:pt idx="3">
                  <c:v>72.364835164835156</c:v>
                </c:pt>
                <c:pt idx="4">
                  <c:v>66.75824175824178</c:v>
                </c:pt>
              </c:numCache>
            </c:numRef>
          </c:val>
          <c:smooth val="0"/>
          <c:extLst>
            <c:ext xmlns:c16="http://schemas.microsoft.com/office/drawing/2014/chart" uri="{C3380CC4-5D6E-409C-BE32-E72D297353CC}">
              <c16:uniqueId val="{00000000-8390-431A-A9D3-C7530A9B0B80}"/>
            </c:ext>
          </c:extLst>
        </c:ser>
        <c:dLbls>
          <c:showLegendKey val="0"/>
          <c:showVal val="0"/>
          <c:showCatName val="0"/>
          <c:showSerName val="0"/>
          <c:showPercent val="0"/>
          <c:showBubbleSize val="0"/>
        </c:dLbls>
        <c:smooth val="0"/>
        <c:axId val="124279776"/>
        <c:axId val="124271040"/>
      </c:lineChart>
      <c:catAx>
        <c:axId val="12427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71040"/>
        <c:crosses val="autoZero"/>
        <c:auto val="1"/>
        <c:lblAlgn val="ctr"/>
        <c:lblOffset val="100"/>
        <c:noMultiLvlLbl val="0"/>
      </c:catAx>
      <c:valAx>
        <c:axId val="12427104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42797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14287</xdr:colOff>
      <xdr:row>8</xdr:row>
      <xdr:rowOff>47623</xdr:rowOff>
    </xdr:from>
    <xdr:to>
      <xdr:col>5</xdr:col>
      <xdr:colOff>4762</xdr:colOff>
      <xdr:row>21</xdr:row>
      <xdr:rowOff>104774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228601</xdr:colOff>
      <xdr:row>8</xdr:row>
      <xdr:rowOff>61912</xdr:rowOff>
    </xdr:from>
    <xdr:to>
      <xdr:col>7</xdr:col>
      <xdr:colOff>1071562</xdr:colOff>
      <xdr:row>21</xdr:row>
      <xdr:rowOff>109536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219074</xdr:colOff>
      <xdr:row>8</xdr:row>
      <xdr:rowOff>52387</xdr:rowOff>
    </xdr:from>
    <xdr:to>
      <xdr:col>10</xdr:col>
      <xdr:colOff>1981200</xdr:colOff>
      <xdr:row>21</xdr:row>
      <xdr:rowOff>66674</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38100</xdr:colOff>
      <xdr:row>0</xdr:row>
      <xdr:rowOff>38100</xdr:rowOff>
    </xdr:from>
    <xdr:to>
      <xdr:col>11</xdr:col>
      <xdr:colOff>1</xdr:colOff>
      <xdr:row>1</xdr:row>
      <xdr:rowOff>52386</xdr:rowOff>
    </xdr:to>
    <mc:AlternateContent xmlns:mc="http://schemas.openxmlformats.org/markup-compatibility/2006" xmlns:a14="http://schemas.microsoft.com/office/drawing/2010/main">
      <mc:Choice Requires="a14">
        <xdr:graphicFrame macro="[0]!SlicerConnection">
          <xdr:nvGraphicFramePr>
            <xdr:cNvPr id="7" name="Region">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8100" y="38100"/>
              <a:ext cx="10506076" cy="4476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157162</xdr:colOff>
      <xdr:row>1</xdr:row>
      <xdr:rowOff>142875</xdr:rowOff>
    </xdr:from>
    <xdr:to>
      <xdr:col>1</xdr:col>
      <xdr:colOff>228600</xdr:colOff>
      <xdr:row>1</xdr:row>
      <xdr:rowOff>481013</xdr:rowOff>
    </xdr:to>
    <xdr:sp macro="" textlink="">
      <xdr:nvSpPr>
        <xdr:cNvPr id="8" name="Speech Bubble: Rectangle with Corners Rounded 7">
          <a:extLst>
            <a:ext uri="{FF2B5EF4-FFF2-40B4-BE49-F238E27FC236}">
              <a16:creationId xmlns:a16="http://schemas.microsoft.com/office/drawing/2014/main" id="{00000000-0008-0000-0000-000008000000}"/>
            </a:ext>
          </a:extLst>
        </xdr:cNvPr>
        <xdr:cNvSpPr/>
      </xdr:nvSpPr>
      <xdr:spPr>
        <a:xfrm>
          <a:off x="157162" y="328613"/>
          <a:ext cx="1166813" cy="338138"/>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1</xdr:row>
          <xdr:rowOff>190500</xdr:rowOff>
        </xdr:from>
        <xdr:to>
          <xdr:col>1</xdr:col>
          <xdr:colOff>66675</xdr:colOff>
          <xdr:row>1</xdr:row>
          <xdr:rowOff>438150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304800</xdr:colOff>
      <xdr:row>1</xdr:row>
      <xdr:rowOff>147638</xdr:rowOff>
    </xdr:from>
    <xdr:to>
      <xdr:col>4</xdr:col>
      <xdr:colOff>266701</xdr:colOff>
      <xdr:row>1</xdr:row>
      <xdr:rowOff>485776</xdr:rowOff>
    </xdr:to>
    <xdr:sp macro="" textlink="">
      <xdr:nvSpPr>
        <xdr:cNvPr id="19" name="Speech Bubble: Rectangle with Corners Rounded 18">
          <a:extLst>
            <a:ext uri="{FF2B5EF4-FFF2-40B4-BE49-F238E27FC236}">
              <a16:creationId xmlns:a16="http://schemas.microsoft.com/office/drawing/2014/main" id="{00000000-0008-0000-0000-000013000000}"/>
            </a:ext>
          </a:extLst>
        </xdr:cNvPr>
        <xdr:cNvSpPr/>
      </xdr:nvSpPr>
      <xdr:spPr>
        <a:xfrm>
          <a:off x="2433638" y="333376"/>
          <a:ext cx="1166813" cy="338138"/>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376238</xdr:colOff>
          <xdr:row>1</xdr:row>
          <xdr:rowOff>176213</xdr:rowOff>
        </xdr:from>
        <xdr:to>
          <xdr:col>3</xdr:col>
          <xdr:colOff>1262063</xdr:colOff>
          <xdr:row>1</xdr:row>
          <xdr:rowOff>423863</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342900</xdr:colOff>
      <xdr:row>1</xdr:row>
      <xdr:rowOff>142876</xdr:rowOff>
    </xdr:from>
    <xdr:to>
      <xdr:col>7</xdr:col>
      <xdr:colOff>452438</xdr:colOff>
      <xdr:row>1</xdr:row>
      <xdr:rowOff>481014</xdr:rowOff>
    </xdr:to>
    <xdr:sp macro="" textlink="">
      <xdr:nvSpPr>
        <xdr:cNvPr id="23" name="Speech Bubble: Rectangle with Corners Rounded 22">
          <a:extLst>
            <a:ext uri="{FF2B5EF4-FFF2-40B4-BE49-F238E27FC236}">
              <a16:creationId xmlns:a16="http://schemas.microsoft.com/office/drawing/2014/main" id="{00000000-0008-0000-0000-000017000000}"/>
            </a:ext>
          </a:extLst>
        </xdr:cNvPr>
        <xdr:cNvSpPr/>
      </xdr:nvSpPr>
      <xdr:spPr>
        <a:xfrm>
          <a:off x="4748213" y="328614"/>
          <a:ext cx="1166813" cy="338138"/>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385763</xdr:colOff>
          <xdr:row>1</xdr:row>
          <xdr:rowOff>185738</xdr:rowOff>
        </xdr:from>
        <xdr:to>
          <xdr:col>7</xdr:col>
          <xdr:colOff>214313</xdr:colOff>
          <xdr:row>1</xdr:row>
          <xdr:rowOff>433388</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952500</xdr:colOff>
      <xdr:row>1</xdr:row>
      <xdr:rowOff>147637</xdr:rowOff>
    </xdr:from>
    <xdr:to>
      <xdr:col>10</xdr:col>
      <xdr:colOff>700088</xdr:colOff>
      <xdr:row>1</xdr:row>
      <xdr:rowOff>485775</xdr:rowOff>
    </xdr:to>
    <xdr:sp macro="" textlink="">
      <xdr:nvSpPr>
        <xdr:cNvPr id="27" name="Speech Bubble: Rectangle with Corners Rounded 26">
          <a:extLst>
            <a:ext uri="{FF2B5EF4-FFF2-40B4-BE49-F238E27FC236}">
              <a16:creationId xmlns:a16="http://schemas.microsoft.com/office/drawing/2014/main" id="{00000000-0008-0000-0000-00001B000000}"/>
            </a:ext>
          </a:extLst>
        </xdr:cNvPr>
        <xdr:cNvSpPr/>
      </xdr:nvSpPr>
      <xdr:spPr>
        <a:xfrm>
          <a:off x="7915275" y="581025"/>
          <a:ext cx="1357313" cy="338138"/>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1071563</xdr:colOff>
          <xdr:row>1</xdr:row>
          <xdr:rowOff>185738</xdr:rowOff>
        </xdr:from>
        <xdr:to>
          <xdr:col>10</xdr:col>
          <xdr:colOff>347663</xdr:colOff>
          <xdr:row>1</xdr:row>
          <xdr:rowOff>433388</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284.91330104167" createdVersion="7" refreshedVersion="8" minRefreshableVersion="3" recordCount="141" xr:uid="{7505C12C-A10D-4A5E-A136-49F9EF0C97BD}">
  <cacheSource type="worksheet">
    <worksheetSource ref="A1:J142" sheet="RAW DATA"/>
  </cacheSource>
  <cacheFields count="10">
    <cacheField name="Emp Code" numFmtId="0">
      <sharedItems/>
    </cacheField>
    <cacheField name="Sales Executive" numFmtId="0">
      <sharedItems count="233">
        <s v="Rosi"/>
        <s v="Rayan"/>
        <s v="Raj verma"/>
        <s v="Devendra"/>
        <s v="Rehan"/>
        <s v="Ehtesham"/>
        <s v="Sonia"/>
        <s v="Adil"/>
        <s v="Ahil"/>
        <s v="Zohan"/>
        <s v="Yazdan"/>
        <s v="Zehra"/>
        <s v="Fatima"/>
        <s v="Rahul"/>
        <s v="Prem"/>
        <s v="Sahil"/>
        <s v="Sakib"/>
        <s v="Hadiya"/>
        <s v="Akhil"/>
        <s v="Ahraam"/>
        <s v="Razdaan"/>
        <s v="Sohail"/>
        <s v="Davi"/>
        <s v="Savi"/>
        <s v="Preetam"/>
        <s v="Mr.Ravi"/>
        <s v="Chi"/>
        <s v="Venu"/>
        <s v="Hary"/>
        <s v="Potter"/>
        <s v="Agha"/>
        <s v="Danish"/>
        <s v="Ayeza"/>
        <s v="Yumna"/>
        <s v="Laiba"/>
        <s v="Sury"/>
        <s v="Calpa"/>
        <s v="Alpha"/>
        <s v="Sazi"/>
        <s v="Soman"/>
        <s v="Sneha"/>
        <s v="Shagun"/>
        <s v="Aarav"/>
        <s v="Vivaan"/>
        <s v="Aditya"/>
        <s v="Arjun"/>
        <s v="Aryan"/>
        <s v="Rohan"/>
        <s v="Karan"/>
        <s v="Varun"/>
        <s v="Ansh"/>
        <s v="Ayush"/>
        <s v="Akash"/>
        <s v="Aman"/>
        <s v="Abhishek"/>
        <s v="Rohit"/>
        <s v="Mohit"/>
        <s v="Nikhil"/>
        <s v="Yash"/>
        <s v="Harsh"/>
        <s v="Raj"/>
        <s v="Shivam"/>
        <s v="Ankit"/>
        <s v="Sumit"/>
        <s v="Pranav"/>
        <s v="Dhruv"/>
        <s v="Kabir"/>
        <s v="Ayaan"/>
        <s v="Ishaan"/>
        <s v="Dev"/>
        <s v="Saanvi"/>
        <s v="Ananya"/>
        <s v="Aadhya"/>
        <s v="Aaradhya"/>
        <s v="Diya"/>
        <s v="Siya"/>
        <s v="Anika"/>
        <s v="Riya"/>
        <s v="Priya"/>
        <s v="Neha"/>
        <s v="Pooja"/>
        <s v="Simran"/>
        <s v="Nisha"/>
        <s v="Isha"/>
        <s v="Aisha"/>
        <s v="Mehak"/>
        <s v="Muskan"/>
        <s v="Khushi"/>
        <s v="Sakshi"/>
        <s v="Shreya"/>
        <s v="Anjali"/>
        <s v="Kritika"/>
        <s v="Palak"/>
        <s v="Tanya"/>
        <s v="Radhika"/>
        <s v="Nandini"/>
        <s v="Kavya"/>
        <s v="Mahi"/>
        <s v="Pari"/>
        <s v="Myra"/>
        <s v="Kiara"/>
        <s v="Avni"/>
        <s v="Navya"/>
        <s v="Ishita"/>
        <s v="Shruti"/>
        <s v="Swati"/>
        <s v="Komal"/>
        <s v="Divya"/>
        <s v="Preeti"/>
        <s v="Pihu"/>
        <s v="Tanu"/>
        <s v="Sanya"/>
        <s v="Heena"/>
        <s v="Harman"/>
        <s v="Gita"/>
        <s v="Babita"/>
        <s v="Arishfa"/>
        <s v="Kanika"/>
        <s v="Farhana"/>
        <s v="Jashmin"/>
        <s v="Rubina"/>
        <s v="Helly"/>
        <s v="Angad"/>
        <s v="Ayushman"/>
        <s v="Siwali"/>
        <s v="Shivani"/>
        <s v="Sandhya"/>
        <s v="Tapasya"/>
        <s v="Kashish"/>
        <s v="Kamaljeet"/>
        <s v="Sohanjeet"/>
        <s v="Ram"/>
        <s v="Sumer"/>
        <s v="Sazib"/>
        <s v="Nhgfh" u="1"/>
        <s v="Dgunms" u="1"/>
        <s v="Sbuhgj" u="1"/>
        <s v="Egyug" u="1"/>
        <s v="Uhfuhv" u="1"/>
        <s v="Siuhjb" u="1"/>
        <s v="Fjhgjbc" u="1"/>
        <s v="Dyugjcdv" u="1"/>
        <s v="Fgyudv" u="1"/>
        <s v="Tghb" u="1"/>
        <s v="Ugcb" u="1"/>
        <s v="Ryudb" u="1"/>
        <s v="Dymbxh" u="1"/>
        <s v="Rhugu" u="1"/>
        <s v="Hiuhnb" u="1"/>
        <s v="Rhub" u="1"/>
        <s v="Ruby" u="1"/>
        <s v="Zaheeda" u="1"/>
        <s v="Khusnud" u="1"/>
        <s v="Roxy" u="1"/>
        <s v="Gungun" u="1"/>
        <s v="Ray" u="1"/>
        <s v="Syhjjb" u="1"/>
        <s v="Fyufhv" u="1"/>
        <s v="Ytguihc" u="1"/>
        <s v="Ejonjn" u="1"/>
        <s v="Ibjbnc" u="1"/>
        <s v="Gguycv" u="1"/>
        <s v="Oibv" u="1"/>
        <s v="Thnm" u="1"/>
        <s v="Fjkngu" u="1"/>
        <s v="Ujkb" u="1"/>
        <s v="Mgkjb" u="1"/>
        <s v="Jfujgv" u="1"/>
        <s v="Jagi" u="1"/>
        <s v="Jory" u="1"/>
        <s v="Hlli" u="1"/>
        <s v="Wgbmx" u="1"/>
        <s v="Rfbns" u="1"/>
        <s v="Tuib" u="1"/>
        <s v="Tulip" u="1"/>
        <s v="Gugyv" u="1"/>
        <s v="Eugvbnx" u="1"/>
        <s v="Hhgb " u="1"/>
        <s v="Gkhjhn" u="1"/>
        <s v="Tfvd" u="1"/>
        <s v="Egdf" u="1"/>
        <s v="Guhvxbn" u="1"/>
        <s v="Ujkhhbx" u="1"/>
        <s v="Ubjkb" u="1"/>
        <s v="Tjhkb" u="1"/>
        <s v="Kgyoufygd" u="1"/>
        <s v="Tfhkhgdn" u="1"/>
        <s v="Whjhc" u="1"/>
        <s v="Gyuvn" u="1"/>
        <s v="Gayu" u="1"/>
        <s v="Fahil" u="1"/>
        <s v="Ahmed" u="1"/>
        <s v="Aeram" u="1"/>
        <s v="Saonie" u="1"/>
        <s v="Aghj" u="1"/>
        <s v="Egghg" u="1"/>
        <s v="Ghkb" u="1"/>
        <s v="Gghvh" u="1"/>
        <s v="Hytjh" u="1"/>
        <s v="Vggyugj" u="1"/>
        <s v="Fuyb" u="1"/>
        <s v="Jhgjkvbn" u="1"/>
        <s v="Jughjb" u="1"/>
        <s v="Fghh" u="1"/>
        <s v="Gtum" u="1"/>
        <s v="Gautam" u="1"/>
        <s v="Davil" u="1"/>
        <s v="Sahim" u="1"/>
        <s v="Prytvb" u="1"/>
        <s v="Hhggfv" u="1"/>
        <s v="Khthgvg" u="1"/>
        <s v="Gghjvhgh" u="1"/>
        <s v="Aujuhjvb" u="1"/>
        <s v="Rhfghvb" u="1"/>
        <s v="Rfhvtygj" u="1"/>
        <s v="Dfyghvb" u="1"/>
        <s v="Rgjvvbn" u="1"/>
        <s v="Rgjmnvfhgj" u="1"/>
        <s v="Rfyfvgfk" u="1"/>
        <s v="Utytfhc" u="1"/>
        <s v="Rgujvvb" u="1"/>
        <s v="Jtyrcv" u="1"/>
        <s v="Lfhfdgf" u="1"/>
        <s v="Lucky" u="1"/>
        <s v="Luci" u="1"/>
        <s v="Lahail" u="1"/>
        <s v="Phupher" u="1"/>
        <s v="Hdtrrfvc" u="1"/>
        <s v="Ggjhb" u="1"/>
        <s v="Dghjhbv" u="1"/>
        <s v="Ryfb" u="1"/>
        <s v="Sehna" u="1"/>
        <s v="Zohar" u="1"/>
      </sharedItems>
    </cacheField>
    <cacheField name="Region" numFmtId="0">
      <sharedItems count="8">
        <s v="Mumbai"/>
        <s v="Delhi"/>
        <s v="Nagpur"/>
        <s v="Chennai"/>
        <s v="Pune"/>
        <s v="Patna"/>
        <s v="Ranchi"/>
        <s v="Surat"/>
      </sharedItems>
    </cacheField>
    <cacheField name="Day1" numFmtId="0">
      <sharedItems containsSemiMixedTypes="0" containsString="0" containsNumber="1" minValue="10" maxValue="99"/>
    </cacheField>
    <cacheField name="Day2" numFmtId="0">
      <sharedItems containsSemiMixedTypes="0" containsString="0" containsNumber="1" minValue="10" maxValue="99"/>
    </cacheField>
    <cacheField name="Day3" numFmtId="0">
      <sharedItems containsSemiMixedTypes="0" containsString="0" containsNumber="1" minValue="10" maxValue="99"/>
    </cacheField>
    <cacheField name="Total Sales" numFmtId="1">
      <sharedItems containsSemiMixedTypes="0" containsString="0" containsNumber="1" minValue="56" maxValue="276"/>
    </cacheField>
    <cacheField name="Target" numFmtId="0">
      <sharedItems containsSemiMixedTypes="0" containsString="0" containsNumber="1" containsInteger="1" minValue="500" maxValue="500"/>
    </cacheField>
    <cacheField name="Target Hit%" numFmtId="2">
      <sharedItems containsSemiMixedTypes="0" containsString="0" containsNumber="1" minValue="11.2" maxValue="55.2"/>
    </cacheField>
    <cacheField name="Away From Target %" numFmtId="2">
      <sharedItems containsSemiMixedTypes="0" containsString="0" containsNumber="1" minValue="44.8" maxValue="88.8"/>
    </cacheField>
  </cacheFields>
  <extLst>
    <ext xmlns:x14="http://schemas.microsoft.com/office/spreadsheetml/2009/9/main" uri="{725AE2AE-9491-48be-B2B4-4EB974FC3084}">
      <x14:pivotCacheDefinition pivotCacheId="13399624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56"/>
    <n v="77.395604395604394"/>
    <n v="56"/>
    <n v="189.39560439560438"/>
    <n v="500"/>
    <n v="37.879120879120876"/>
    <n v="62.120879120879124"/>
  </r>
  <r>
    <s v="Mum-TCL002"/>
    <x v="1"/>
    <x v="1"/>
    <n v="45"/>
    <n v="77.829670329670293"/>
    <n v="45"/>
    <n v="167.82967032967031"/>
    <n v="500"/>
    <n v="33.565934065934059"/>
    <n v="66.434065934065941"/>
  </r>
  <r>
    <s v="Mum-TCL003"/>
    <x v="2"/>
    <x v="2"/>
    <n v="67"/>
    <n v="78.263736263736206"/>
    <n v="67"/>
    <n v="212.26373626373621"/>
    <n v="500"/>
    <n v="42.452747252747244"/>
    <n v="57.547252747252756"/>
  </r>
  <r>
    <s v="Mum-TCL004"/>
    <x v="3"/>
    <x v="3"/>
    <n v="54"/>
    <n v="78.697802197802204"/>
    <n v="54"/>
    <n v="186.69780219780222"/>
    <n v="500"/>
    <n v="37.339560439560444"/>
    <n v="62.660439560439556"/>
  </r>
  <r>
    <s v="Mum-TCL005"/>
    <x v="4"/>
    <x v="4"/>
    <n v="67"/>
    <n v="79.131868131868103"/>
    <n v="67"/>
    <n v="213.13186813186809"/>
    <n v="500"/>
    <n v="42.626373626373621"/>
    <n v="57.373626373626379"/>
  </r>
  <r>
    <s v="Mum-TCL006"/>
    <x v="5"/>
    <x v="5"/>
    <n v="78"/>
    <n v="79.565934065934002"/>
    <n v="78"/>
    <n v="235.56593406593402"/>
    <n v="500"/>
    <n v="47.1131868131868"/>
    <n v="52.8868131868132"/>
  </r>
  <r>
    <s v="Mum-TCL007"/>
    <x v="6"/>
    <x v="6"/>
    <n v="98"/>
    <n v="80"/>
    <n v="98"/>
    <n v="276"/>
    <n v="500"/>
    <n v="55.2"/>
    <n v="44.8"/>
  </r>
  <r>
    <s v="Mum-TCL008"/>
    <x v="7"/>
    <x v="7"/>
    <n v="67"/>
    <n v="80.434065934065899"/>
    <n v="67"/>
    <n v="214.4340659340659"/>
    <n v="500"/>
    <n v="42.886813186813185"/>
    <n v="57.113186813186815"/>
  </r>
  <r>
    <s v="Mum-TCL009"/>
    <x v="8"/>
    <x v="0"/>
    <n v="45"/>
    <n v="80.868131868131798"/>
    <n v="45"/>
    <n v="170.8681318681318"/>
    <n v="500"/>
    <n v="34.173626373626355"/>
    <n v="65.826373626373652"/>
  </r>
  <r>
    <s v="Mum-TCL010"/>
    <x v="9"/>
    <x v="1"/>
    <n v="32"/>
    <n v="81.302197802197796"/>
    <n v="32"/>
    <n v="145.30219780219778"/>
    <n v="500"/>
    <n v="29.060439560439558"/>
    <n v="70.939560439560438"/>
  </r>
  <r>
    <s v="Mum-TCL011"/>
    <x v="10"/>
    <x v="2"/>
    <n v="45"/>
    <n v="81.736263736263695"/>
    <n v="45"/>
    <n v="171.73626373626371"/>
    <n v="500"/>
    <n v="34.347252747252746"/>
    <n v="65.652747252747247"/>
  </r>
  <r>
    <s v="Mum-TCL012"/>
    <x v="11"/>
    <x v="3"/>
    <n v="65"/>
    <n v="82.170329670329707"/>
    <n v="65"/>
    <n v="212.17032967032969"/>
    <n v="500"/>
    <n v="42.434065934065941"/>
    <n v="57.565934065934059"/>
  </r>
  <r>
    <s v="Mum-TCL013"/>
    <x v="12"/>
    <x v="4"/>
    <n v="87"/>
    <n v="82.604395604395606"/>
    <n v="87"/>
    <n v="256.60439560439562"/>
    <n v="500"/>
    <n v="51.32087912087912"/>
    <n v="48.67912087912088"/>
  </r>
  <r>
    <s v="Mum-TCL014"/>
    <x v="13"/>
    <x v="5"/>
    <n v="34"/>
    <n v="83.038461538461505"/>
    <n v="34"/>
    <n v="151.03846153846149"/>
    <n v="500"/>
    <n v="30.207692307692298"/>
    <n v="69.792307692307702"/>
  </r>
  <r>
    <s v="Mum-TCL015"/>
    <x v="14"/>
    <x v="6"/>
    <n v="23"/>
    <n v="83.472527472527403"/>
    <n v="23"/>
    <n v="129.47252747252742"/>
    <n v="500"/>
    <n v="25.894505494505484"/>
    <n v="74.105494505494519"/>
  </r>
  <r>
    <s v="Mum-TCL016"/>
    <x v="15"/>
    <x v="7"/>
    <n v="90"/>
    <n v="83.906593406593402"/>
    <n v="90"/>
    <n v="263.9065934065934"/>
    <n v="500"/>
    <n v="52.781318681318673"/>
    <n v="47.218681318681327"/>
  </r>
  <r>
    <s v="Mum-TCL017"/>
    <x v="16"/>
    <x v="0"/>
    <n v="78"/>
    <n v="84.3406593406593"/>
    <n v="78"/>
    <n v="240.3406593406593"/>
    <n v="500"/>
    <n v="48.068131868131857"/>
    <n v="51.931868131868143"/>
  </r>
  <r>
    <s v="Mum-TCL018"/>
    <x v="17"/>
    <x v="1"/>
    <n v="68"/>
    <n v="84.774725274725299"/>
    <n v="68"/>
    <n v="220.77472527472531"/>
    <n v="500"/>
    <n v="44.15494505494506"/>
    <n v="55.84505494505494"/>
  </r>
  <r>
    <s v="Mum-TCL019"/>
    <x v="18"/>
    <x v="2"/>
    <n v="50"/>
    <n v="85.208791208791197"/>
    <n v="50"/>
    <n v="185.20879120879118"/>
    <n v="500"/>
    <n v="37.041758241758238"/>
    <n v="62.958241758241762"/>
  </r>
  <r>
    <s v="Mum-TCL020"/>
    <x v="19"/>
    <x v="3"/>
    <n v="56"/>
    <n v="85.642857142857096"/>
    <n v="56"/>
    <n v="197.64285714285711"/>
    <n v="500"/>
    <n v="39.528571428571418"/>
    <n v="60.471428571428582"/>
  </r>
  <r>
    <s v="Mum-TCL021"/>
    <x v="20"/>
    <x v="4"/>
    <n v="11"/>
    <n v="86.076923076923094"/>
    <n v="11"/>
    <n v="108.07692307692309"/>
    <n v="500"/>
    <n v="21.615384615384617"/>
    <n v="78.384615384615387"/>
  </r>
  <r>
    <s v="Mum-TCL022"/>
    <x v="21"/>
    <x v="5"/>
    <n v="22"/>
    <n v="86.510989010988993"/>
    <n v="22"/>
    <n v="130.51098901098899"/>
    <n v="500"/>
    <n v="26.1021978021978"/>
    <n v="73.897802197802207"/>
  </r>
  <r>
    <s v="Mum-TCL023"/>
    <x v="22"/>
    <x v="6"/>
    <n v="33"/>
    <n v="86.945054945054906"/>
    <n v="33"/>
    <n v="152.94505494505489"/>
    <n v="500"/>
    <n v="30.589010989010976"/>
    <n v="69.410989010989027"/>
  </r>
  <r>
    <s v="Mum-TCL024"/>
    <x v="23"/>
    <x v="7"/>
    <n v="44"/>
    <n v="87.379120879120904"/>
    <n v="44"/>
    <n v="175.3791208791209"/>
    <n v="500"/>
    <n v="35.075824175824181"/>
    <n v="64.924175824175819"/>
  </r>
  <r>
    <s v="Mum-TCL025"/>
    <x v="24"/>
    <x v="0"/>
    <n v="55"/>
    <n v="87.813186813186803"/>
    <n v="55"/>
    <n v="197.8131868131868"/>
    <n v="500"/>
    <n v="39.562637362637361"/>
    <n v="60.437362637362639"/>
  </r>
  <r>
    <s v="Mum-TCL026"/>
    <x v="25"/>
    <x v="1"/>
    <n v="66"/>
    <n v="56"/>
    <n v="66"/>
    <n v="188"/>
    <n v="500"/>
    <n v="37.6"/>
    <n v="62.4"/>
  </r>
  <r>
    <s v="Mum-TCL027"/>
    <x v="26"/>
    <x v="2"/>
    <n v="77"/>
    <n v="45"/>
    <n v="77"/>
    <n v="199"/>
    <n v="500"/>
    <n v="39.799999999999997"/>
    <n v="60.2"/>
  </r>
  <r>
    <s v="Mum-TCL028"/>
    <x v="27"/>
    <x v="3"/>
    <n v="88"/>
    <n v="67"/>
    <n v="88"/>
    <n v="243"/>
    <n v="500"/>
    <n v="48.6"/>
    <n v="51.4"/>
  </r>
  <r>
    <s v="Mum-TCL029"/>
    <x v="28"/>
    <x v="4"/>
    <n v="99"/>
    <n v="54"/>
    <n v="99"/>
    <n v="252"/>
    <n v="500"/>
    <n v="50.4"/>
    <n v="49.6"/>
  </r>
  <r>
    <s v="Mum-TCL030"/>
    <x v="29"/>
    <x v="5"/>
    <n v="98"/>
    <n v="67"/>
    <n v="98"/>
    <n v="263"/>
    <n v="500"/>
    <n v="52.6"/>
    <n v="47.4"/>
  </r>
  <r>
    <s v="Mum-TCL031"/>
    <x v="30"/>
    <x v="6"/>
    <n v="87"/>
    <n v="78"/>
    <n v="87"/>
    <n v="252"/>
    <n v="500"/>
    <n v="50.4"/>
    <n v="49.6"/>
  </r>
  <r>
    <s v="Mum-TCL032"/>
    <x v="31"/>
    <x v="7"/>
    <n v="76"/>
    <n v="98"/>
    <n v="76"/>
    <n v="250"/>
    <n v="500"/>
    <n v="50"/>
    <n v="50"/>
  </r>
  <r>
    <s v="Mum-TCL033"/>
    <x v="32"/>
    <x v="0"/>
    <n v="65"/>
    <n v="67"/>
    <n v="65"/>
    <n v="197"/>
    <n v="500"/>
    <n v="39.4"/>
    <n v="60.6"/>
  </r>
  <r>
    <s v="Mum-TCL034"/>
    <x v="33"/>
    <x v="1"/>
    <n v="54"/>
    <n v="45"/>
    <n v="54"/>
    <n v="153"/>
    <n v="500"/>
    <n v="30.6"/>
    <n v="69.400000000000006"/>
  </r>
  <r>
    <s v="Mum-TCL035"/>
    <x v="34"/>
    <x v="2"/>
    <n v="43"/>
    <n v="32"/>
    <n v="43"/>
    <n v="118"/>
    <n v="500"/>
    <n v="23.6"/>
    <n v="76.400000000000006"/>
  </r>
  <r>
    <s v="Mum-TCL036"/>
    <x v="35"/>
    <x v="3"/>
    <n v="32"/>
    <n v="45"/>
    <n v="32"/>
    <n v="109"/>
    <n v="500"/>
    <n v="21.8"/>
    <n v="78.2"/>
  </r>
  <r>
    <s v="Mum-TCL037"/>
    <x v="36"/>
    <x v="4"/>
    <n v="21"/>
    <n v="65"/>
    <n v="21"/>
    <n v="107"/>
    <n v="500"/>
    <n v="21.4"/>
    <n v="78.599999999999994"/>
  </r>
  <r>
    <s v="Mum-TCL038"/>
    <x v="37"/>
    <x v="5"/>
    <n v="10"/>
    <n v="87"/>
    <n v="10"/>
    <n v="107"/>
    <n v="500"/>
    <n v="21.4"/>
    <n v="78.599999999999994"/>
  </r>
  <r>
    <s v="Mum-TCL039"/>
    <x v="38"/>
    <x v="6"/>
    <n v="11"/>
    <n v="34"/>
    <n v="11"/>
    <n v="56"/>
    <n v="500"/>
    <n v="11.2"/>
    <n v="88.8"/>
  </r>
  <r>
    <s v="Mum-TCL040"/>
    <x v="39"/>
    <x v="7"/>
    <n v="45"/>
    <n v="23"/>
    <n v="45"/>
    <n v="113"/>
    <n v="500"/>
    <n v="22.6"/>
    <n v="77.400000000000006"/>
  </r>
  <r>
    <s v="Mum-TCL041"/>
    <x v="40"/>
    <x v="0"/>
    <n v="76"/>
    <n v="90"/>
    <n v="76"/>
    <n v="242"/>
    <n v="500"/>
    <n v="48.4"/>
    <n v="51.6"/>
  </r>
  <r>
    <s v="Mum-TCL042"/>
    <x v="41"/>
    <x v="1"/>
    <n v="87"/>
    <n v="78"/>
    <n v="87"/>
    <n v="252"/>
    <n v="500"/>
    <n v="50.4"/>
    <n v="49.6"/>
  </r>
  <r>
    <s v="Mum-TCL043"/>
    <x v="42"/>
    <x v="2"/>
    <n v="54"/>
    <n v="68"/>
    <n v="54"/>
    <n v="176"/>
    <n v="500"/>
    <n v="35.200000000000003"/>
    <n v="64.8"/>
  </r>
  <r>
    <s v="Mum-TCL044"/>
    <x v="43"/>
    <x v="3"/>
    <n v="23"/>
    <n v="50"/>
    <n v="23"/>
    <n v="96"/>
    <n v="500"/>
    <n v="19.2"/>
    <n v="80.8"/>
  </r>
  <r>
    <s v="Mum-TCL045"/>
    <x v="44"/>
    <x v="4"/>
    <n v="45"/>
    <n v="56"/>
    <n v="45"/>
    <n v="146"/>
    <n v="500"/>
    <n v="29.2"/>
    <n v="70.8"/>
  </r>
  <r>
    <s v="Mum-TCL046"/>
    <x v="45"/>
    <x v="5"/>
    <n v="46.576923076923102"/>
    <n v="11"/>
    <n v="46.576923076923102"/>
    <n v="104.1538461538462"/>
    <n v="500"/>
    <n v="20.830769230769242"/>
    <n v="79.169230769230751"/>
  </r>
  <r>
    <s v="Mum-TCL047"/>
    <x v="46"/>
    <x v="6"/>
    <n v="47.010989010989"/>
    <n v="22"/>
    <n v="47.010989010989"/>
    <n v="116.02197802197799"/>
    <n v="500"/>
    <n v="23.2043956043956"/>
    <n v="76.7956043956044"/>
  </r>
  <r>
    <s v="Mum-TCL048"/>
    <x v="47"/>
    <x v="7"/>
    <n v="47.445054945054899"/>
    <n v="33"/>
    <n v="47.445054945054899"/>
    <n v="127.89010989010978"/>
    <n v="500"/>
    <n v="25.578021978021955"/>
    <n v="74.421978021978049"/>
  </r>
  <r>
    <s v="Mum-TCL049"/>
    <x v="13"/>
    <x v="0"/>
    <n v="47.879120879120897"/>
    <n v="44"/>
    <n v="47.879120879120897"/>
    <n v="139.75824175824181"/>
    <n v="500"/>
    <n v="27.951648351648359"/>
    <n v="72.048351648351641"/>
  </r>
  <r>
    <s v="Mum-TCL050"/>
    <x v="48"/>
    <x v="1"/>
    <n v="48.313186813186803"/>
    <n v="55"/>
    <n v="48.313186813186803"/>
    <n v="151.62637362637361"/>
    <n v="500"/>
    <n v="30.325274725274721"/>
    <n v="69.674725274725276"/>
  </r>
  <r>
    <s v="Mum-TCL051"/>
    <x v="49"/>
    <x v="2"/>
    <n v="48.747252747252801"/>
    <n v="66"/>
    <n v="48.747252747252801"/>
    <n v="163.4945054945056"/>
    <n v="500"/>
    <n v="32.698901098901125"/>
    <n v="67.301098901098868"/>
  </r>
  <r>
    <s v="Mum-TCL052"/>
    <x v="50"/>
    <x v="3"/>
    <n v="49.1813186813187"/>
    <n v="77"/>
    <n v="49.1813186813187"/>
    <n v="175.3626373626374"/>
    <n v="500"/>
    <n v="35.072527472527483"/>
    <n v="64.927472527472517"/>
  </r>
  <r>
    <s v="Mum-TCL053"/>
    <x v="51"/>
    <x v="4"/>
    <n v="49.615384615384599"/>
    <n v="88"/>
    <n v="49.615384615384599"/>
    <n v="187.23076923076917"/>
    <n v="500"/>
    <n v="37.446153846153834"/>
    <n v="62.553846153846166"/>
  </r>
  <r>
    <s v="Mum-TCL054"/>
    <x v="52"/>
    <x v="5"/>
    <n v="50.049450549450597"/>
    <n v="99"/>
    <n v="50.049450549450597"/>
    <n v="199.09890109890119"/>
    <n v="500"/>
    <n v="39.819780219780235"/>
    <n v="60.180219780219765"/>
  </r>
  <r>
    <s v="Mum-TCL055"/>
    <x v="53"/>
    <x v="6"/>
    <n v="50.483516483516503"/>
    <n v="98"/>
    <n v="50.483516483516503"/>
    <n v="198.96703296703299"/>
    <n v="500"/>
    <n v="39.793406593406601"/>
    <n v="60.206593406593399"/>
  </r>
  <r>
    <s v="Mum-TCL056"/>
    <x v="54"/>
    <x v="7"/>
    <n v="50.917582417582402"/>
    <n v="87"/>
    <n v="50.917582417582402"/>
    <n v="188.83516483516479"/>
    <n v="500"/>
    <n v="37.767032967032961"/>
    <n v="62.232967032967039"/>
  </r>
  <r>
    <s v="Mum-TCL057"/>
    <x v="55"/>
    <x v="0"/>
    <n v="51.351648351648301"/>
    <n v="76"/>
    <n v="51.351648351648301"/>
    <n v="178.70329670329659"/>
    <n v="500"/>
    <n v="35.740659340659313"/>
    <n v="64.259340659340694"/>
  </r>
  <r>
    <s v="Mum-TCL058"/>
    <x v="56"/>
    <x v="1"/>
    <n v="51.785714285714299"/>
    <n v="65"/>
    <n v="51.785714285714299"/>
    <n v="168.57142857142861"/>
    <n v="500"/>
    <n v="33.714285714285722"/>
    <n v="66.285714285714278"/>
  </r>
  <r>
    <s v="Mum-TCL059"/>
    <x v="57"/>
    <x v="2"/>
    <n v="76"/>
    <n v="54"/>
    <n v="76"/>
    <n v="206"/>
    <n v="500"/>
    <n v="41.2"/>
    <n v="58.8"/>
  </r>
  <r>
    <s v="Mum-TCL060"/>
    <x v="15"/>
    <x v="3"/>
    <n v="52.653846153846096"/>
    <n v="43"/>
    <n v="52.653846153846096"/>
    <n v="148.30769230769221"/>
    <n v="500"/>
    <n v="29.661538461538441"/>
    <n v="70.338461538461559"/>
  </r>
  <r>
    <s v="Mum-TCL061"/>
    <x v="58"/>
    <x v="4"/>
    <n v="53.087912087912102"/>
    <n v="32"/>
    <n v="53.087912087912102"/>
    <n v="138.1758241758242"/>
    <n v="500"/>
    <n v="27.63516483516484"/>
    <n v="72.364835164835156"/>
  </r>
  <r>
    <s v="Mum-TCL062"/>
    <x v="59"/>
    <x v="5"/>
    <n v="53.521978021978001"/>
    <n v="21"/>
    <n v="53.521978021978001"/>
    <n v="128.043956043956"/>
    <n v="500"/>
    <n v="25.6087912087912"/>
    <n v="74.391208791208797"/>
  </r>
  <r>
    <s v="Mum-TCL063"/>
    <x v="60"/>
    <x v="6"/>
    <n v="53.956043956043899"/>
    <n v="10"/>
    <n v="53.956043956043899"/>
    <n v="117.9120879120878"/>
    <n v="500"/>
    <n v="23.582417582417559"/>
    <n v="76.417582417582437"/>
  </r>
  <r>
    <s v="Mum-TCL064"/>
    <x v="61"/>
    <x v="7"/>
    <n v="54.390109890109898"/>
    <n v="11"/>
    <n v="54.390109890109898"/>
    <n v="119.7802197802198"/>
    <n v="500"/>
    <n v="23.95604395604396"/>
    <n v="76.043956043956044"/>
  </r>
  <r>
    <s v="Mum-TCL065"/>
    <x v="62"/>
    <x v="0"/>
    <n v="54.824175824175803"/>
    <n v="45"/>
    <n v="54.824175824175803"/>
    <n v="154.64835164835159"/>
    <n v="500"/>
    <n v="30.929670329670319"/>
    <n v="69.070329670329684"/>
  </r>
  <r>
    <s v="Mum-TCL066"/>
    <x v="63"/>
    <x v="1"/>
    <n v="55.258241758241702"/>
    <n v="51.785714285714299"/>
    <n v="55.258241758241702"/>
    <n v="162.3021978021977"/>
    <n v="500"/>
    <n v="32.460439560439539"/>
    <n v="67.539560439560461"/>
  </r>
  <r>
    <s v="Mum-TCL067"/>
    <x v="64"/>
    <x v="2"/>
    <n v="55.692307692307701"/>
    <n v="76"/>
    <n v="55.692307692307701"/>
    <n v="187.38461538461542"/>
    <n v="500"/>
    <n v="37.476923076923086"/>
    <n v="62.523076923076914"/>
  </r>
  <r>
    <s v="Mum-TCL068"/>
    <x v="65"/>
    <x v="3"/>
    <n v="56.126373626373599"/>
    <n v="52.653846153846096"/>
    <n v="56.126373626373599"/>
    <n v="164.90659340659329"/>
    <n v="500"/>
    <n v="32.981318681318655"/>
    <n v="67.018681318681345"/>
  </r>
  <r>
    <s v="Mum-TCL069"/>
    <x v="66"/>
    <x v="4"/>
    <n v="56.560439560439498"/>
    <n v="53.087912087912102"/>
    <n v="56.560439560439498"/>
    <n v="166.2087912087911"/>
    <n v="500"/>
    <n v="33.24175824175822"/>
    <n v="66.75824175824178"/>
  </r>
  <r>
    <s v="Mum-TCL070"/>
    <x v="67"/>
    <x v="5"/>
    <n v="56.994505494505503"/>
    <n v="53.521978021978001"/>
    <n v="56.994505494505503"/>
    <n v="167.51098901098902"/>
    <n v="500"/>
    <n v="33.502197802197806"/>
    <n v="66.497802197802201"/>
  </r>
  <r>
    <s v="Mum-TCL071"/>
    <x v="68"/>
    <x v="6"/>
    <n v="57.428571428571402"/>
    <n v="53.956043956043899"/>
    <n v="57.428571428571402"/>
    <n v="168.81318681318669"/>
    <n v="500"/>
    <n v="33.762637362637342"/>
    <n v="66.237362637362651"/>
  </r>
  <r>
    <s v="Mum-TCL072"/>
    <x v="69"/>
    <x v="7"/>
    <n v="57.862637362637301"/>
    <n v="54.390109890109898"/>
    <n v="57.862637362637301"/>
    <n v="170.1153846153845"/>
    <n v="500"/>
    <n v="34.0230769230769"/>
    <n v="65.9769230769231"/>
  </r>
  <r>
    <s v="Mum-TCL073"/>
    <x v="70"/>
    <x v="0"/>
    <n v="58.296703296703299"/>
    <n v="54.824175824175803"/>
    <n v="58.296703296703299"/>
    <n v="171.41758241758239"/>
    <n v="500"/>
    <n v="34.283516483516479"/>
    <n v="65.716483516483521"/>
  </r>
  <r>
    <s v="Mum-TCL074"/>
    <x v="71"/>
    <x v="1"/>
    <n v="58.730769230769198"/>
    <n v="55.258241758241702"/>
    <n v="58.730769230769198"/>
    <n v="172.71978021978009"/>
    <n v="500"/>
    <n v="34.543956043956015"/>
    <n v="65.456043956043985"/>
  </r>
  <r>
    <s v="Mum-TCL075"/>
    <x v="72"/>
    <x v="2"/>
    <n v="59.164835164835097"/>
    <n v="55.692307692307701"/>
    <n v="59.164835164835097"/>
    <n v="174.0219780219779"/>
    <n v="500"/>
    <n v="34.80439560439558"/>
    <n v="65.19560439560442"/>
  </r>
  <r>
    <s v="Mum-TCL076"/>
    <x v="73"/>
    <x v="3"/>
    <n v="59.598901098901102"/>
    <n v="56.126373626373599"/>
    <n v="59.598901098901102"/>
    <n v="175.3241758241758"/>
    <n v="500"/>
    <n v="35.064835164835159"/>
    <n v="64.935164835164841"/>
  </r>
  <r>
    <s v="Mum-TCL077"/>
    <x v="74"/>
    <x v="4"/>
    <n v="60.032967032967001"/>
    <n v="56.560439560439498"/>
    <n v="60.032967032967001"/>
    <n v="176.62637362637349"/>
    <n v="500"/>
    <n v="35.325274725274703"/>
    <n v="64.67472527472529"/>
  </r>
  <r>
    <s v="Mum-TCL078"/>
    <x v="75"/>
    <x v="5"/>
    <n v="60.4670329670329"/>
    <n v="56.994505494505503"/>
    <n v="60.4670329670329"/>
    <n v="177.9285714285713"/>
    <n v="500"/>
    <n v="35.585714285714261"/>
    <n v="64.414285714285739"/>
  </r>
  <r>
    <s v="Mum-TCL079"/>
    <x v="76"/>
    <x v="6"/>
    <n v="60.901098901098898"/>
    <n v="57.428571428571402"/>
    <n v="60.901098901098898"/>
    <n v="179.2307692307692"/>
    <n v="500"/>
    <n v="35.84615384615384"/>
    <n v="64.15384615384616"/>
  </r>
  <r>
    <s v="Mum-TCL080"/>
    <x v="77"/>
    <x v="7"/>
    <n v="61.335164835164797"/>
    <n v="57.862637362637301"/>
    <n v="61.335164835164797"/>
    <n v="180.53296703296689"/>
    <n v="500"/>
    <n v="36.106593406593376"/>
    <n v="63.893406593406624"/>
  </r>
  <r>
    <s v="Mum-TCL081"/>
    <x v="78"/>
    <x v="0"/>
    <n v="61.769230769230703"/>
    <n v="58.296703296703299"/>
    <n v="61.769230769230703"/>
    <n v="181.8351648351647"/>
    <n v="500"/>
    <n v="36.367032967032941"/>
    <n v="63.632967032967059"/>
  </r>
  <r>
    <s v="Mum-TCL082"/>
    <x v="40"/>
    <x v="1"/>
    <n v="62.203296703296701"/>
    <n v="58.730769230769198"/>
    <n v="62.203296703296701"/>
    <n v="183.1373626373626"/>
    <n v="500"/>
    <n v="36.62747252747252"/>
    <n v="63.37252747252748"/>
  </r>
  <r>
    <s v="Mum-TCL083"/>
    <x v="79"/>
    <x v="2"/>
    <n v="62.6373626373626"/>
    <n v="59.164835164835097"/>
    <n v="62.6373626373626"/>
    <n v="184.4395604395603"/>
    <n v="500"/>
    <n v="36.887912087912063"/>
    <n v="63.112087912087937"/>
  </r>
  <r>
    <s v="Mum-TCL084"/>
    <x v="80"/>
    <x v="3"/>
    <n v="63.071428571428498"/>
    <n v="59.598901098901102"/>
    <n v="63.071428571428498"/>
    <n v="185.74175824175811"/>
    <n v="500"/>
    <n v="37.148351648351621"/>
    <n v="62.851648351648379"/>
  </r>
  <r>
    <s v="Mum-TCL085"/>
    <x v="81"/>
    <x v="4"/>
    <n v="63.505494505494497"/>
    <n v="60.032967032967001"/>
    <n v="63.505494505494497"/>
    <n v="187.04395604395597"/>
    <n v="500"/>
    <n v="37.4087912087912"/>
    <n v="62.5912087912088"/>
  </r>
  <r>
    <s v="Mum-TCL086"/>
    <x v="82"/>
    <x v="5"/>
    <n v="63.939560439560402"/>
    <n v="60.4670329670329"/>
    <n v="63.939560439560402"/>
    <n v="188.3461538461537"/>
    <n v="500"/>
    <n v="37.669230769230737"/>
    <n v="62.330769230769263"/>
  </r>
  <r>
    <s v="Mum-TCL087"/>
    <x v="83"/>
    <x v="6"/>
    <n v="64.373626373626294"/>
    <n v="60.901098901098898"/>
    <n v="64.373626373626294"/>
    <n v="189.64835164835148"/>
    <n v="500"/>
    <n v="37.929670329670301"/>
    <n v="62.070329670329699"/>
  </r>
  <r>
    <s v="Mum-TCL088"/>
    <x v="84"/>
    <x v="7"/>
    <n v="64.807692307692307"/>
    <n v="61.335164835164797"/>
    <n v="64.807692307692307"/>
    <n v="190.95054945054943"/>
    <n v="500"/>
    <n v="38.190109890109888"/>
    <n v="61.809890109890112"/>
  </r>
  <r>
    <s v="Mum-TCL089"/>
    <x v="85"/>
    <x v="0"/>
    <n v="65.241758241758205"/>
    <n v="66.978021978021999"/>
    <n v="65.241758241758205"/>
    <n v="197.4615384615384"/>
    <n v="500"/>
    <n v="39.492307692307683"/>
    <n v="60.507692307692317"/>
  </r>
  <r>
    <s v="Mum-TCL090"/>
    <x v="86"/>
    <x v="1"/>
    <n v="65.675824175824104"/>
    <n v="67.412087912087898"/>
    <n v="65.675824175824104"/>
    <n v="198.76373626373612"/>
    <n v="500"/>
    <n v="39.752747252747227"/>
    <n v="60.247252747252773"/>
  </r>
  <r>
    <s v="Mum-TCL091"/>
    <x v="87"/>
    <x v="2"/>
    <n v="66.109890109890102"/>
    <n v="67.846153846153797"/>
    <n v="66.109890109890102"/>
    <n v="200.06593406593402"/>
    <n v="500"/>
    <n v="40.013186813186806"/>
    <n v="59.986813186813194"/>
  </r>
  <r>
    <s v="Mum-TCL092"/>
    <x v="88"/>
    <x v="3"/>
    <n v="66.543956043956001"/>
    <n v="68.280219780219795"/>
    <n v="66.543956043956001"/>
    <n v="201.3681318681318"/>
    <n v="500"/>
    <n v="40.273626373626357"/>
    <n v="59.726373626373643"/>
  </r>
  <r>
    <s v="Mum-TCL093"/>
    <x v="89"/>
    <x v="4"/>
    <n v="66.978021978021999"/>
    <n v="68.714285714285694"/>
    <n v="66.978021978021999"/>
    <n v="202.67032967032969"/>
    <n v="500"/>
    <n v="40.534065934065943"/>
    <n v="59.465934065934057"/>
  </r>
  <r>
    <s v="Mum-TCL094"/>
    <x v="90"/>
    <x v="5"/>
    <n v="67.412087912087898"/>
    <n v="69.148351648351607"/>
    <n v="67.412087912087898"/>
    <n v="203.97252747252742"/>
    <n v="500"/>
    <n v="40.794505494505486"/>
    <n v="59.205494505494514"/>
  </r>
  <r>
    <s v="Mum-TCL095"/>
    <x v="91"/>
    <x v="6"/>
    <n v="67.846153846153797"/>
    <n v="69.582417582417605"/>
    <n v="67.846153846153797"/>
    <n v="205.2747252747252"/>
    <n v="500"/>
    <n v="41.054945054945044"/>
    <n v="58.945054945054956"/>
  </r>
  <r>
    <s v="Mum-TCL096"/>
    <x v="92"/>
    <x v="7"/>
    <n v="68.280219780219795"/>
    <n v="70.016483516483504"/>
    <n v="68.280219780219795"/>
    <n v="206.57692307692309"/>
    <n v="500"/>
    <n v="41.315384615384616"/>
    <n v="58.684615384615384"/>
  </r>
  <r>
    <s v="Mum-TCL097"/>
    <x v="93"/>
    <x v="0"/>
    <n v="68.714285714285694"/>
    <n v="70.450549450549403"/>
    <n v="68.714285714285694"/>
    <n v="207.87912087912079"/>
    <n v="500"/>
    <n v="41.57582417582416"/>
    <n v="58.42417582417584"/>
  </r>
  <r>
    <s v="Mum-TCL098"/>
    <x v="94"/>
    <x v="1"/>
    <n v="69.148351648351607"/>
    <n v="70.884615384615401"/>
    <n v="69.148351648351607"/>
    <n v="209.1813186813186"/>
    <n v="500"/>
    <n v="41.836263736263717"/>
    <n v="58.163736263736283"/>
  </r>
  <r>
    <s v="Mum-TCL099"/>
    <x v="95"/>
    <x v="2"/>
    <n v="69.582417582417605"/>
    <n v="71.3186813186813"/>
    <n v="69.582417582417605"/>
    <n v="210.48351648351652"/>
    <n v="500"/>
    <n v="42.096703296703311"/>
    <n v="57.903296703296689"/>
  </r>
  <r>
    <s v="Mum-TCL100"/>
    <x v="96"/>
    <x v="3"/>
    <n v="70.016483516483504"/>
    <n v="71.752747252747199"/>
    <n v="70.016483516483504"/>
    <n v="211.78571428571422"/>
    <n v="500"/>
    <n v="42.35714285714284"/>
    <n v="57.64285714285716"/>
  </r>
  <r>
    <s v="Mum-TCL101"/>
    <x v="97"/>
    <x v="4"/>
    <n v="70.450549450549403"/>
    <n v="72.186813186813197"/>
    <n v="70.450549450549403"/>
    <n v="213.087912087912"/>
    <n v="500"/>
    <n v="42.617582417582405"/>
    <n v="57.382417582417595"/>
  </r>
  <r>
    <s v="Mum-TCL102"/>
    <x v="98"/>
    <x v="5"/>
    <n v="70.884615384615401"/>
    <n v="72.620879120879096"/>
    <n v="70.884615384615401"/>
    <n v="214.3901098901099"/>
    <n v="500"/>
    <n v="42.878021978021977"/>
    <n v="57.121978021978023"/>
  </r>
  <r>
    <s v="Mum-TCL103"/>
    <x v="99"/>
    <x v="6"/>
    <n v="71.3186813186813"/>
    <n v="73.054945054944994"/>
    <n v="71.3186813186813"/>
    <n v="215.69230769230757"/>
    <n v="500"/>
    <n v="43.138461538461513"/>
    <n v="56.861538461538487"/>
  </r>
  <r>
    <s v="Mum-TCL104"/>
    <x v="100"/>
    <x v="7"/>
    <n v="71.752747252747199"/>
    <n v="56"/>
    <n v="71.752747252747199"/>
    <n v="199.5054945054944"/>
    <n v="500"/>
    <n v="39.901098901098877"/>
    <n v="60.098901098901123"/>
  </r>
  <r>
    <s v="Mum-TCL105"/>
    <x v="101"/>
    <x v="0"/>
    <n v="72.186813186813197"/>
    <n v="45"/>
    <n v="72.186813186813197"/>
    <n v="189.37362637362639"/>
    <n v="500"/>
    <n v="37.874725274725279"/>
    <n v="62.125274725274721"/>
  </r>
  <r>
    <s v="Mum-TCL106"/>
    <x v="102"/>
    <x v="1"/>
    <n v="72.620879120879096"/>
    <n v="67"/>
    <n v="72.620879120879096"/>
    <n v="212.24175824175819"/>
    <n v="500"/>
    <n v="42.448351648351633"/>
    <n v="57.551648351648367"/>
  </r>
  <r>
    <s v="Mum-TCL107"/>
    <x v="103"/>
    <x v="2"/>
    <n v="73.054945054944994"/>
    <n v="54"/>
    <n v="73.054945054944994"/>
    <n v="200.10989010988999"/>
    <n v="500"/>
    <n v="40.021978021978001"/>
    <n v="59.978021978021999"/>
  </r>
  <r>
    <s v="Mum-TCL108"/>
    <x v="104"/>
    <x v="3"/>
    <n v="73.489010989011007"/>
    <n v="67"/>
    <n v="73.489010989011007"/>
    <n v="213.97802197802201"/>
    <n v="500"/>
    <n v="42.7956043956044"/>
    <n v="57.2043956043956"/>
  </r>
  <r>
    <s v="Mum-TCL109"/>
    <x v="105"/>
    <x v="4"/>
    <n v="73.923076923076906"/>
    <n v="78"/>
    <n v="73.923076923076906"/>
    <n v="225.84615384615381"/>
    <n v="500"/>
    <n v="45.169230769230765"/>
    <n v="54.830769230769235"/>
  </r>
  <r>
    <s v="Mum-TCL110"/>
    <x v="106"/>
    <x v="5"/>
    <n v="74.357142857142804"/>
    <n v="98"/>
    <n v="74.357142857142804"/>
    <n v="246.71428571428561"/>
    <n v="500"/>
    <n v="49.34285714285712"/>
    <n v="50.65714285714288"/>
  </r>
  <r>
    <s v="Mum-TCL111"/>
    <x v="107"/>
    <x v="6"/>
    <n v="74.791208791208803"/>
    <n v="67"/>
    <n v="74.791208791208803"/>
    <n v="216.58241758241763"/>
    <n v="500"/>
    <n v="43.316483516483522"/>
    <n v="56.683516483516478"/>
  </r>
  <r>
    <s v="Mum-TCL112"/>
    <x v="108"/>
    <x v="7"/>
    <n v="75.225274725274701"/>
    <n v="45"/>
    <n v="75.225274725274701"/>
    <n v="195.4505494505494"/>
    <n v="500"/>
    <n v="39.090109890109879"/>
    <n v="60.909890109890121"/>
  </r>
  <r>
    <s v="Mum-TCL113"/>
    <x v="109"/>
    <x v="0"/>
    <n v="75.6593406593406"/>
    <n v="32"/>
    <n v="75.6593406593406"/>
    <n v="183.3186813186812"/>
    <n v="500"/>
    <n v="36.66373626373624"/>
    <n v="63.33626373626376"/>
  </r>
  <r>
    <s v="Mum-TCL114"/>
    <x v="110"/>
    <x v="1"/>
    <n v="76.093406593406598"/>
    <n v="45"/>
    <n v="76.093406593406598"/>
    <n v="197.1868131868132"/>
    <n v="500"/>
    <n v="39.437362637362639"/>
    <n v="60.562637362637361"/>
  </r>
  <r>
    <s v="Mum-TCL115"/>
    <x v="111"/>
    <x v="2"/>
    <n v="76.527472527472497"/>
    <n v="65"/>
    <n v="76.527472527472497"/>
    <n v="218.05494505494499"/>
    <n v="500"/>
    <n v="43.610989010988995"/>
    <n v="56.389010989011005"/>
  </r>
  <r>
    <s v="Mum-TCL116"/>
    <x v="112"/>
    <x v="3"/>
    <n v="76.961538461538396"/>
    <n v="87"/>
    <n v="76.961538461538396"/>
    <n v="240.92307692307679"/>
    <n v="500"/>
    <n v="48.184615384615363"/>
    <n v="51.815384615384637"/>
  </r>
  <r>
    <s v="Mum-TCL117"/>
    <x v="113"/>
    <x v="4"/>
    <n v="77.395604395604394"/>
    <n v="56"/>
    <n v="77.395604395604394"/>
    <n v="210.79120879120876"/>
    <n v="500"/>
    <n v="42.158241758241758"/>
    <n v="57.841758241758242"/>
  </r>
  <r>
    <s v="Mum-TCL118"/>
    <x v="114"/>
    <x v="5"/>
    <n v="77.829670329670293"/>
    <n v="45"/>
    <n v="77.829670329670293"/>
    <n v="200.65934065934059"/>
    <n v="500"/>
    <n v="40.131868131868117"/>
    <n v="59.868131868131883"/>
  </r>
  <r>
    <s v="Mum-TCL119"/>
    <x v="115"/>
    <x v="6"/>
    <n v="78.263736263736206"/>
    <n v="67"/>
    <n v="78.263736263736206"/>
    <n v="223.52747252747241"/>
    <n v="500"/>
    <n v="44.705494505494485"/>
    <n v="55.294505494505515"/>
  </r>
  <r>
    <s v="Mum-TCL120"/>
    <x v="116"/>
    <x v="7"/>
    <n v="78.697802197802204"/>
    <n v="54"/>
    <n v="78.697802197802204"/>
    <n v="211.39560439560444"/>
    <n v="500"/>
    <n v="42.279120879120882"/>
    <n v="57.720879120879118"/>
  </r>
  <r>
    <s v="Mum-TCL121"/>
    <x v="117"/>
    <x v="0"/>
    <n v="79.131868131868103"/>
    <n v="67"/>
    <n v="79.131868131868103"/>
    <n v="225.26373626373618"/>
    <n v="500"/>
    <n v="45.052747252747231"/>
    <n v="54.947252747252769"/>
  </r>
  <r>
    <s v="Mum-TCL122"/>
    <x v="118"/>
    <x v="1"/>
    <n v="79.565934065934002"/>
    <n v="78"/>
    <n v="79.565934065934002"/>
    <n v="237.13186813186803"/>
    <n v="500"/>
    <n v="47.426373626373604"/>
    <n v="52.573626373626396"/>
  </r>
  <r>
    <s v="Mum-TCL123"/>
    <x v="119"/>
    <x v="2"/>
    <n v="80"/>
    <n v="98"/>
    <n v="80"/>
    <n v="258"/>
    <n v="500"/>
    <n v="51.6"/>
    <n v="48.4"/>
  </r>
  <r>
    <s v="Mum-TCL124"/>
    <x v="120"/>
    <x v="3"/>
    <n v="80.434065934065899"/>
    <n v="67"/>
    <n v="80.434065934065899"/>
    <n v="227.8681318681318"/>
    <n v="500"/>
    <n v="45.573626373626354"/>
    <n v="54.426373626373646"/>
  </r>
  <r>
    <s v="Mum-TCL125"/>
    <x v="121"/>
    <x v="4"/>
    <n v="80.868131868131798"/>
    <n v="45"/>
    <n v="80.868131868131798"/>
    <n v="206.7362637362636"/>
    <n v="500"/>
    <n v="41.347252747252725"/>
    <n v="58.652747252747275"/>
  </r>
  <r>
    <s v="Mum-TCL126"/>
    <x v="122"/>
    <x v="5"/>
    <n v="81.302197802197796"/>
    <n v="32"/>
    <n v="81.302197802197796"/>
    <n v="194.60439560439559"/>
    <n v="500"/>
    <n v="38.920879120879114"/>
    <n v="61.079120879120886"/>
  </r>
  <r>
    <s v="Mum-TCL127"/>
    <x v="123"/>
    <x v="6"/>
    <n v="81.736263736263695"/>
    <n v="45"/>
    <n v="81.736263736263695"/>
    <n v="208.47252747252739"/>
    <n v="500"/>
    <n v="41.694505494505478"/>
    <n v="58.305494505494522"/>
  </r>
  <r>
    <s v="Mum-TCL128"/>
    <x v="124"/>
    <x v="7"/>
    <n v="82.170329670329707"/>
    <n v="65"/>
    <n v="82.170329670329707"/>
    <n v="229.34065934065939"/>
    <n v="500"/>
    <n v="45.868131868131883"/>
    <n v="54.131868131868117"/>
  </r>
  <r>
    <s v="Mum-TCL129"/>
    <x v="125"/>
    <x v="0"/>
    <n v="82.604395604395606"/>
    <n v="87"/>
    <n v="82.604395604395606"/>
    <n v="252.20879120879124"/>
    <n v="500"/>
    <n v="50.441758241758244"/>
    <n v="49.558241758241756"/>
  </r>
  <r>
    <s v="Mum-TCL130"/>
    <x v="126"/>
    <x v="1"/>
    <n v="83.038461538461505"/>
    <n v="56"/>
    <n v="83.038461538461505"/>
    <n v="222.07692307692298"/>
    <n v="500"/>
    <n v="44.415384615384596"/>
    <n v="55.584615384615404"/>
  </r>
  <r>
    <s v="Mum-TCL131"/>
    <x v="127"/>
    <x v="2"/>
    <n v="83.472527472527403"/>
    <n v="45"/>
    <n v="83.472527472527403"/>
    <n v="211.94505494505484"/>
    <n v="500"/>
    <n v="42.38901098901097"/>
    <n v="57.61098901098903"/>
  </r>
  <r>
    <s v="Mum-TCL132"/>
    <x v="50"/>
    <x v="3"/>
    <n v="83.906593406593402"/>
    <n v="67"/>
    <n v="83.906593406593402"/>
    <n v="234.8131868131868"/>
    <n v="500"/>
    <n v="46.962637362637359"/>
    <n v="53.037362637362641"/>
  </r>
  <r>
    <s v="Mum-TCL133"/>
    <x v="128"/>
    <x v="4"/>
    <n v="84.3406593406593"/>
    <n v="54"/>
    <n v="84.3406593406593"/>
    <n v="222.6813186813186"/>
    <n v="500"/>
    <n v="44.53626373626372"/>
    <n v="55.46373626373628"/>
  </r>
  <r>
    <s v="Mum-TCL134"/>
    <x v="106"/>
    <x v="5"/>
    <n v="84.774725274725299"/>
    <n v="67"/>
    <n v="84.774725274725299"/>
    <n v="236.54945054945063"/>
    <n v="500"/>
    <n v="47.309890109890127"/>
    <n v="52.690109890109873"/>
  </r>
  <r>
    <s v="Mum-TCL135"/>
    <x v="129"/>
    <x v="6"/>
    <n v="85.208791208791197"/>
    <n v="78"/>
    <n v="85.208791208791197"/>
    <n v="248.41758241758237"/>
    <n v="500"/>
    <n v="49.683516483516478"/>
    <n v="50.316483516483522"/>
  </r>
  <r>
    <s v="Mum-TCL136"/>
    <x v="130"/>
    <x v="7"/>
    <n v="85.642857142857096"/>
    <n v="98"/>
    <n v="85.642857142857096"/>
    <n v="269.28571428571422"/>
    <n v="500"/>
    <n v="53.85714285714284"/>
    <n v="46.14285714285716"/>
  </r>
  <r>
    <s v="Mum-TCL137"/>
    <x v="131"/>
    <x v="0"/>
    <n v="86.076923076923094"/>
    <n v="67"/>
    <n v="86.076923076923094"/>
    <n v="239.15384615384619"/>
    <n v="500"/>
    <n v="47.830769230769235"/>
    <n v="52.169230769230765"/>
  </r>
  <r>
    <s v="Mum-TCL138"/>
    <x v="8"/>
    <x v="1"/>
    <n v="86.510989010988993"/>
    <n v="45"/>
    <n v="86.510989010988993"/>
    <n v="218.02197802197799"/>
    <n v="500"/>
    <n v="43.604395604395599"/>
    <n v="56.395604395604401"/>
  </r>
  <r>
    <s v="Mum-TCL139"/>
    <x v="15"/>
    <x v="2"/>
    <n v="86.945054945054906"/>
    <n v="32"/>
    <n v="86.945054945054906"/>
    <n v="205.89010989010981"/>
    <n v="500"/>
    <n v="41.17802197802196"/>
    <n v="58.82197802197804"/>
  </r>
  <r>
    <s v="Mum-TCL140"/>
    <x v="132"/>
    <x v="3"/>
    <n v="87.379120879120904"/>
    <n v="45"/>
    <n v="87.379120879120904"/>
    <n v="219.75824175824181"/>
    <n v="500"/>
    <n v="43.951648351648366"/>
    <n v="56.048351648351634"/>
  </r>
  <r>
    <s v="Mum-TCL141"/>
    <x v="133"/>
    <x v="4"/>
    <n v="87.813186813186803"/>
    <n v="65"/>
    <n v="87.813186813186803"/>
    <n v="240.62637362637361"/>
    <n v="500"/>
    <n v="48.125274725274721"/>
    <n v="51.8747252747252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1D1EE0-3642-4F02-A4AC-E43928068746}" name="PivotTable2" cacheId="10"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rowHeaderCaption="Sales Executive">
  <location ref="D3:E8" firstHeaderRow="1" firstDataRow="1" firstDataCol="1"/>
  <pivotFields count="10">
    <pivotField showAll="0"/>
    <pivotField axis="axisRow" showAll="0" measureFilter="1">
      <items count="234">
        <item x="7"/>
        <item m="1" x="192"/>
        <item x="30"/>
        <item m="1" x="194"/>
        <item x="8"/>
        <item m="1" x="191"/>
        <item x="19"/>
        <item x="18"/>
        <item x="37"/>
        <item m="1" x="212"/>
        <item x="32"/>
        <item x="36"/>
        <item x="26"/>
        <item x="31"/>
        <item x="22"/>
        <item m="1" x="206"/>
        <item x="3"/>
        <item m="1" x="215"/>
        <item m="1" x="229"/>
        <item m="1" x="135"/>
        <item m="1" x="146"/>
        <item m="1" x="141"/>
        <item m="1" x="180"/>
        <item m="1" x="195"/>
        <item m="1" x="137"/>
        <item x="5"/>
        <item m="1" x="159"/>
        <item m="1" x="176"/>
        <item m="1" x="190"/>
        <item x="12"/>
        <item m="1" x="203"/>
        <item m="1" x="142"/>
        <item m="1" x="140"/>
        <item m="1" x="164"/>
        <item m="1" x="200"/>
        <item m="1" x="157"/>
        <item m="1" x="205"/>
        <item m="1" x="189"/>
        <item m="1" x="211"/>
        <item m="1" x="197"/>
        <item m="1" x="228"/>
        <item m="1" x="161"/>
        <item m="1" x="196"/>
        <item m="1" x="178"/>
        <item m="1" x="204"/>
        <item m="1" x="175"/>
        <item m="1" x="181"/>
        <item m="1" x="154"/>
        <item m="1" x="188"/>
        <item x="17"/>
        <item x="28"/>
        <item m="1" x="227"/>
        <item m="1" x="177"/>
        <item m="1" x="209"/>
        <item m="1" x="148"/>
        <item m="1" x="170"/>
        <item m="1" x="198"/>
        <item m="1" x="160"/>
        <item m="1" x="168"/>
        <item m="1" x="167"/>
        <item m="1" x="201"/>
        <item m="1" x="169"/>
        <item m="1" x="221"/>
        <item m="1" x="202"/>
        <item m="1" x="185"/>
        <item m="1" x="210"/>
        <item m="1" x="152"/>
        <item m="1" x="225"/>
        <item x="34"/>
        <item m="1" x="222"/>
        <item m="1" x="224"/>
        <item m="1" x="223"/>
        <item m="1" x="166"/>
        <item x="25"/>
        <item m="1" x="134"/>
        <item m="1" x="162"/>
        <item m="1" x="226"/>
        <item x="29"/>
        <item x="24"/>
        <item x="14"/>
        <item m="1" x="208"/>
        <item x="13"/>
        <item x="2"/>
        <item m="1" x="155"/>
        <item x="1"/>
        <item x="20"/>
        <item x="4"/>
        <item m="1" x="172"/>
        <item m="1" x="214"/>
        <item m="1" x="218"/>
        <item m="1" x="217"/>
        <item m="1" x="216"/>
        <item m="1" x="220"/>
        <item m="1" x="213"/>
        <item m="1" x="149"/>
        <item m="1" x="147"/>
        <item x="0"/>
        <item m="1" x="153"/>
        <item m="1" x="150"/>
        <item m="1" x="230"/>
        <item m="1" x="145"/>
        <item x="15"/>
        <item m="1" x="207"/>
        <item x="16"/>
        <item m="1" x="193"/>
        <item x="23"/>
        <item x="38"/>
        <item m="1" x="136"/>
        <item m="1" x="231"/>
        <item x="41"/>
        <item m="1" x="139"/>
        <item x="40"/>
        <item x="21"/>
        <item x="39"/>
        <item x="6"/>
        <item x="35"/>
        <item m="1" x="156"/>
        <item m="1" x="186"/>
        <item m="1" x="179"/>
        <item m="1" x="143"/>
        <item m="1" x="163"/>
        <item m="1" x="184"/>
        <item m="1" x="173"/>
        <item m="1" x="174"/>
        <item m="1" x="183"/>
        <item m="1" x="144"/>
        <item m="1" x="138"/>
        <item m="1" x="165"/>
        <item m="1" x="182"/>
        <item m="1" x="219"/>
        <item x="27"/>
        <item m="1" x="199"/>
        <item m="1" x="171"/>
        <item m="1" x="187"/>
        <item x="10"/>
        <item m="1" x="158"/>
        <item x="33"/>
        <item m="1" x="151"/>
        <item x="11"/>
        <item x="9"/>
        <item m="1" x="232"/>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dataField="1" numFmtId="1" showAll="0"/>
    <pivotField showAll="0"/>
    <pivotField numFmtId="2" showAll="0"/>
    <pivotField numFmtId="2" showAll="0"/>
  </pivotFields>
  <rowFields count="1">
    <field x="1"/>
  </rowFields>
  <rowItems count="5">
    <i>
      <x v="8"/>
    </i>
    <i>
      <x v="11"/>
    </i>
    <i>
      <x v="106"/>
    </i>
    <i>
      <x v="142"/>
    </i>
    <i>
      <x v="144"/>
    </i>
  </rowItems>
  <colItems count="1">
    <i/>
  </colItems>
  <dataFields count="1">
    <dataField name="Total sales " fld="6" baseField="1" baseItem="51"/>
  </dataFields>
  <pivotTableStyleInfo name="PivotStyleMedium19"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64799B-65F9-435A-ABA7-784A32ED161A}" name="PivotTable1" cacheId="10"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3" rowHeaderCaption="Sales Executive">
  <location ref="A3:B8" firstHeaderRow="1" firstDataRow="1" firstDataCol="1"/>
  <pivotFields count="10">
    <pivotField showAll="0"/>
    <pivotField axis="axisRow" showAll="0" measureFilter="1">
      <items count="234">
        <item x="7"/>
        <item m="1" x="192"/>
        <item x="30"/>
        <item m="1" x="194"/>
        <item x="8"/>
        <item m="1" x="191"/>
        <item x="19"/>
        <item x="18"/>
        <item x="37"/>
        <item m="1" x="212"/>
        <item x="32"/>
        <item x="36"/>
        <item x="26"/>
        <item x="31"/>
        <item x="22"/>
        <item m="1" x="206"/>
        <item x="3"/>
        <item m="1" x="215"/>
        <item m="1" x="229"/>
        <item m="1" x="135"/>
        <item m="1" x="146"/>
        <item m="1" x="141"/>
        <item m="1" x="180"/>
        <item m="1" x="195"/>
        <item m="1" x="137"/>
        <item x="5"/>
        <item m="1" x="159"/>
        <item m="1" x="176"/>
        <item m="1" x="190"/>
        <item x="12"/>
        <item m="1" x="203"/>
        <item m="1" x="142"/>
        <item m="1" x="140"/>
        <item m="1" x="164"/>
        <item m="1" x="200"/>
        <item m="1" x="157"/>
        <item m="1" x="205"/>
        <item m="1" x="189"/>
        <item m="1" x="211"/>
        <item m="1" x="197"/>
        <item m="1" x="228"/>
        <item m="1" x="161"/>
        <item m="1" x="196"/>
        <item m="1" x="178"/>
        <item m="1" x="204"/>
        <item m="1" x="175"/>
        <item m="1" x="181"/>
        <item m="1" x="154"/>
        <item m="1" x="188"/>
        <item x="17"/>
        <item x="28"/>
        <item m="1" x="227"/>
        <item m="1" x="177"/>
        <item m="1" x="209"/>
        <item m="1" x="148"/>
        <item m="1" x="170"/>
        <item m="1" x="198"/>
        <item m="1" x="160"/>
        <item m="1" x="168"/>
        <item m="1" x="167"/>
        <item m="1" x="201"/>
        <item m="1" x="169"/>
        <item m="1" x="221"/>
        <item m="1" x="202"/>
        <item m="1" x="185"/>
        <item m="1" x="210"/>
        <item m="1" x="152"/>
        <item m="1" x="225"/>
        <item x="34"/>
        <item m="1" x="222"/>
        <item m="1" x="224"/>
        <item m="1" x="223"/>
        <item m="1" x="166"/>
        <item x="25"/>
        <item m="1" x="134"/>
        <item m="1" x="162"/>
        <item m="1" x="226"/>
        <item x="29"/>
        <item x="24"/>
        <item x="14"/>
        <item m="1" x="208"/>
        <item x="13"/>
        <item x="2"/>
        <item m="1" x="155"/>
        <item x="1"/>
        <item x="20"/>
        <item x="4"/>
        <item m="1" x="172"/>
        <item m="1" x="214"/>
        <item m="1" x="218"/>
        <item m="1" x="217"/>
        <item m="1" x="216"/>
        <item m="1" x="220"/>
        <item m="1" x="213"/>
        <item m="1" x="149"/>
        <item m="1" x="147"/>
        <item x="0"/>
        <item m="1" x="153"/>
        <item m="1" x="150"/>
        <item m="1" x="230"/>
        <item m="1" x="145"/>
        <item x="15"/>
        <item m="1" x="207"/>
        <item x="16"/>
        <item m="1" x="193"/>
        <item x="23"/>
        <item x="38"/>
        <item m="1" x="136"/>
        <item m="1" x="231"/>
        <item x="41"/>
        <item m="1" x="139"/>
        <item x="40"/>
        <item x="21"/>
        <item x="39"/>
        <item x="6"/>
        <item x="35"/>
        <item m="1" x="156"/>
        <item m="1" x="186"/>
        <item m="1" x="179"/>
        <item m="1" x="143"/>
        <item m="1" x="163"/>
        <item m="1" x="184"/>
        <item m="1" x="173"/>
        <item m="1" x="174"/>
        <item m="1" x="183"/>
        <item m="1" x="144"/>
        <item m="1" x="138"/>
        <item m="1" x="165"/>
        <item m="1" x="182"/>
        <item m="1" x="219"/>
        <item x="27"/>
        <item m="1" x="199"/>
        <item m="1" x="171"/>
        <item m="1" x="187"/>
        <item x="10"/>
        <item m="1" x="158"/>
        <item x="33"/>
        <item m="1" x="151"/>
        <item x="11"/>
        <item x="9"/>
        <item m="1" x="232"/>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t="default"/>
      </items>
    </pivotField>
    <pivotField showAll="0">
      <items count="9">
        <item h="1" x="3"/>
        <item h="1" x="1"/>
        <item h="1" x="0"/>
        <item h="1" x="2"/>
        <item h="1" x="5"/>
        <item x="4"/>
        <item h="1" x="6"/>
        <item h="1" x="7"/>
        <item t="default"/>
      </items>
    </pivotField>
    <pivotField showAll="0"/>
    <pivotField showAll="0"/>
    <pivotField showAll="0"/>
    <pivotField dataField="1" numFmtId="1" showAll="0"/>
    <pivotField showAll="0"/>
    <pivotField numFmtId="2" showAll="0"/>
    <pivotField numFmtId="2" showAll="0"/>
  </pivotFields>
  <rowFields count="1">
    <field x="1"/>
  </rowFields>
  <rowItems count="5">
    <i>
      <x v="29"/>
    </i>
    <i>
      <x v="50"/>
    </i>
    <i>
      <x v="204"/>
    </i>
    <i>
      <x v="227"/>
    </i>
    <i>
      <x v="232"/>
    </i>
  </rowItems>
  <colItems count="1">
    <i/>
  </colItems>
  <dataFields count="1">
    <dataField name="Total sales " fld="6" baseField="1" baseItem="51"/>
  </dataFields>
  <chartFormats count="2">
    <chartFormat chart="1" format="1"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D06B36-3D09-4C08-8E13-03248F3C5707}" name="PivotTable4" cacheId="10"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 rowHeaderCaption="Sales Executive">
  <location ref="J3:K8" firstHeaderRow="1" firstDataRow="1" firstDataCol="1"/>
  <pivotFields count="10">
    <pivotField showAll="0"/>
    <pivotField axis="axisRow" showAll="0" measureFilter="1">
      <items count="234">
        <item x="7"/>
        <item m="1" x="192"/>
        <item x="30"/>
        <item m="1" x="194"/>
        <item x="8"/>
        <item m="1" x="191"/>
        <item x="19"/>
        <item x="18"/>
        <item x="37"/>
        <item m="1" x="212"/>
        <item x="32"/>
        <item x="36"/>
        <item x="26"/>
        <item x="31"/>
        <item x="22"/>
        <item m="1" x="206"/>
        <item x="3"/>
        <item m="1" x="215"/>
        <item m="1" x="229"/>
        <item m="1" x="135"/>
        <item m="1" x="146"/>
        <item m="1" x="141"/>
        <item m="1" x="180"/>
        <item m="1" x="195"/>
        <item m="1" x="137"/>
        <item x="5"/>
        <item m="1" x="159"/>
        <item m="1" x="176"/>
        <item m="1" x="190"/>
        <item x="12"/>
        <item m="1" x="203"/>
        <item m="1" x="142"/>
        <item m="1" x="140"/>
        <item m="1" x="164"/>
        <item m="1" x="200"/>
        <item m="1" x="157"/>
        <item m="1" x="205"/>
        <item m="1" x="189"/>
        <item m="1" x="211"/>
        <item m="1" x="197"/>
        <item m="1" x="228"/>
        <item m="1" x="161"/>
        <item m="1" x="196"/>
        <item m="1" x="178"/>
        <item m="1" x="204"/>
        <item m="1" x="175"/>
        <item m="1" x="181"/>
        <item m="1" x="154"/>
        <item m="1" x="188"/>
        <item x="17"/>
        <item x="28"/>
        <item m="1" x="227"/>
        <item m="1" x="177"/>
        <item m="1" x="209"/>
        <item m="1" x="148"/>
        <item m="1" x="170"/>
        <item m="1" x="198"/>
        <item m="1" x="160"/>
        <item m="1" x="168"/>
        <item m="1" x="167"/>
        <item m="1" x="201"/>
        <item m="1" x="169"/>
        <item m="1" x="221"/>
        <item m="1" x="202"/>
        <item m="1" x="185"/>
        <item m="1" x="210"/>
        <item m="1" x="152"/>
        <item m="1" x="225"/>
        <item x="34"/>
        <item m="1" x="222"/>
        <item m="1" x="224"/>
        <item m="1" x="223"/>
        <item m="1" x="166"/>
        <item x="25"/>
        <item m="1" x="134"/>
        <item m="1" x="162"/>
        <item m="1" x="226"/>
        <item x="29"/>
        <item x="24"/>
        <item x="14"/>
        <item m="1" x="208"/>
        <item x="13"/>
        <item x="2"/>
        <item m="1" x="155"/>
        <item x="1"/>
        <item x="20"/>
        <item x="4"/>
        <item m="1" x="172"/>
        <item m="1" x="214"/>
        <item m="1" x="218"/>
        <item m="1" x="217"/>
        <item m="1" x="216"/>
        <item m="1" x="220"/>
        <item m="1" x="213"/>
        <item m="1" x="149"/>
        <item m="1" x="147"/>
        <item x="0"/>
        <item m="1" x="153"/>
        <item m="1" x="150"/>
        <item m="1" x="230"/>
        <item m="1" x="145"/>
        <item x="15"/>
        <item m="1" x="207"/>
        <item x="16"/>
        <item m="1" x="193"/>
        <item x="23"/>
        <item x="38"/>
        <item m="1" x="136"/>
        <item m="1" x="231"/>
        <item x="41"/>
        <item m="1" x="139"/>
        <item x="40"/>
        <item x="21"/>
        <item x="39"/>
        <item x="6"/>
        <item x="35"/>
        <item m="1" x="156"/>
        <item m="1" x="186"/>
        <item m="1" x="179"/>
        <item m="1" x="143"/>
        <item m="1" x="163"/>
        <item m="1" x="184"/>
        <item m="1" x="173"/>
        <item m="1" x="174"/>
        <item m="1" x="183"/>
        <item m="1" x="144"/>
        <item m="1" x="138"/>
        <item m="1" x="165"/>
        <item m="1" x="182"/>
        <item m="1" x="219"/>
        <item x="27"/>
        <item m="1" x="199"/>
        <item m="1" x="171"/>
        <item m="1" x="187"/>
        <item x="10"/>
        <item m="1" x="158"/>
        <item x="33"/>
        <item m="1" x="151"/>
        <item x="11"/>
        <item x="9"/>
        <item m="1" x="232"/>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t="default"/>
      </items>
    </pivotField>
    <pivotField showAll="0">
      <items count="9">
        <item h="1" x="3"/>
        <item h="1" x="1"/>
        <item h="1" x="0"/>
        <item h="1" x="2"/>
        <item h="1" x="5"/>
        <item x="4"/>
        <item h="1" x="6"/>
        <item h="1" x="7"/>
        <item t="default"/>
      </items>
    </pivotField>
    <pivotField showAll="0"/>
    <pivotField showAll="0"/>
    <pivotField showAll="0"/>
    <pivotField numFmtId="1" showAll="0"/>
    <pivotField showAll="0"/>
    <pivotField numFmtId="2" showAll="0"/>
    <pivotField dataField="1" numFmtId="2" showAll="0"/>
  </pivotFields>
  <rowFields count="1">
    <field x="1"/>
  </rowFields>
  <rowItems count="5">
    <i>
      <x v="11"/>
    </i>
    <i>
      <x v="85"/>
    </i>
    <i>
      <x v="143"/>
    </i>
    <i>
      <x v="157"/>
    </i>
    <i>
      <x v="165"/>
    </i>
  </rowItems>
  <colItems count="1">
    <i/>
  </colItems>
  <dataFields count="1">
    <dataField name="Away From Target % Wise" fld="9" baseField="1" baseItem="8"/>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9"/>
          </reference>
        </references>
      </pivotArea>
    </chartFormat>
    <chartFormat chart="0" format="2">
      <pivotArea type="data" outline="0" fieldPosition="0">
        <references count="2">
          <reference field="4294967294" count="1" selected="0">
            <x v="0"/>
          </reference>
          <reference field="1" count="1" selected="0">
            <x v="11"/>
          </reference>
        </references>
      </pivotArea>
    </chartFormat>
    <chartFormat chart="0" format="3">
      <pivotArea type="data" outline="0" fieldPosition="0">
        <references count="2">
          <reference field="4294967294" count="1" selected="0">
            <x v="0"/>
          </reference>
          <reference field="1" count="1" selected="0">
            <x v="26"/>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8"/>
          </reference>
        </references>
      </pivotArea>
    </chartFormat>
    <chartFormat chart="0" format="6">
      <pivotArea type="data" outline="0" fieldPosition="0">
        <references count="2">
          <reference field="4294967294" count="1" selected="0">
            <x v="0"/>
          </reference>
          <reference field="1" count="1" selected="0">
            <x v="57"/>
          </reference>
        </references>
      </pivotArea>
    </chartFormat>
    <chartFormat chart="0" format="7">
      <pivotArea type="data" outline="0" fieldPosition="0">
        <references count="2">
          <reference field="4294967294" count="1" selected="0">
            <x v="0"/>
          </reference>
          <reference field="1" count="1" selected="0">
            <x v="66"/>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6D0E68F-E950-4064-A809-0BA23C60C629}" name="PivotTable3" cacheId="10"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3" rowHeaderCaption="Sales Executive">
  <location ref="G3:H8" firstHeaderRow="1" firstDataRow="1" firstDataCol="1"/>
  <pivotFields count="10">
    <pivotField showAll="0"/>
    <pivotField axis="axisRow" showAll="0" measureFilter="1">
      <items count="234">
        <item x="7"/>
        <item m="1" x="192"/>
        <item x="30"/>
        <item m="1" x="194"/>
        <item x="8"/>
        <item m="1" x="191"/>
        <item x="19"/>
        <item x="18"/>
        <item x="37"/>
        <item m="1" x="212"/>
        <item x="32"/>
        <item x="36"/>
        <item x="26"/>
        <item x="31"/>
        <item x="22"/>
        <item m="1" x="206"/>
        <item x="3"/>
        <item m="1" x="215"/>
        <item m="1" x="229"/>
        <item m="1" x="135"/>
        <item m="1" x="146"/>
        <item m="1" x="141"/>
        <item m="1" x="180"/>
        <item m="1" x="195"/>
        <item m="1" x="137"/>
        <item x="5"/>
        <item m="1" x="159"/>
        <item m="1" x="176"/>
        <item m="1" x="190"/>
        <item x="12"/>
        <item m="1" x="203"/>
        <item m="1" x="142"/>
        <item m="1" x="140"/>
        <item m="1" x="164"/>
        <item m="1" x="200"/>
        <item m="1" x="157"/>
        <item m="1" x="205"/>
        <item m="1" x="189"/>
        <item m="1" x="211"/>
        <item m="1" x="197"/>
        <item m="1" x="228"/>
        <item m="1" x="161"/>
        <item m="1" x="196"/>
        <item m="1" x="178"/>
        <item m="1" x="204"/>
        <item m="1" x="175"/>
        <item m="1" x="181"/>
        <item m="1" x="154"/>
        <item m="1" x="188"/>
        <item x="17"/>
        <item x="28"/>
        <item m="1" x="227"/>
        <item m="1" x="177"/>
        <item m="1" x="209"/>
        <item m="1" x="148"/>
        <item m="1" x="170"/>
        <item m="1" x="198"/>
        <item m="1" x="160"/>
        <item m="1" x="168"/>
        <item m="1" x="167"/>
        <item m="1" x="201"/>
        <item m="1" x="169"/>
        <item m="1" x="221"/>
        <item m="1" x="202"/>
        <item m="1" x="185"/>
        <item m="1" x="210"/>
        <item m="1" x="152"/>
        <item m="1" x="225"/>
        <item x="34"/>
        <item m="1" x="222"/>
        <item m="1" x="224"/>
        <item m="1" x="223"/>
        <item m="1" x="166"/>
        <item x="25"/>
        <item m="1" x="134"/>
        <item m="1" x="162"/>
        <item m="1" x="226"/>
        <item x="29"/>
        <item x="24"/>
        <item x="14"/>
        <item m="1" x="208"/>
        <item x="13"/>
        <item x="2"/>
        <item m="1" x="155"/>
        <item x="1"/>
        <item x="20"/>
        <item x="4"/>
        <item m="1" x="172"/>
        <item m="1" x="214"/>
        <item m="1" x="218"/>
        <item m="1" x="217"/>
        <item m="1" x="216"/>
        <item m="1" x="220"/>
        <item m="1" x="213"/>
        <item m="1" x="149"/>
        <item m="1" x="147"/>
        <item x="0"/>
        <item m="1" x="153"/>
        <item m="1" x="150"/>
        <item m="1" x="230"/>
        <item m="1" x="145"/>
        <item x="15"/>
        <item m="1" x="207"/>
        <item x="16"/>
        <item m="1" x="193"/>
        <item x="23"/>
        <item x="38"/>
        <item m="1" x="136"/>
        <item m="1" x="231"/>
        <item x="41"/>
        <item m="1" x="139"/>
        <item x="40"/>
        <item x="21"/>
        <item x="39"/>
        <item x="6"/>
        <item x="35"/>
        <item m="1" x="156"/>
        <item m="1" x="186"/>
        <item m="1" x="179"/>
        <item m="1" x="143"/>
        <item m="1" x="163"/>
        <item m="1" x="184"/>
        <item m="1" x="173"/>
        <item m="1" x="174"/>
        <item m="1" x="183"/>
        <item m="1" x="144"/>
        <item m="1" x="138"/>
        <item m="1" x="165"/>
        <item m="1" x="182"/>
        <item m="1" x="219"/>
        <item x="27"/>
        <item m="1" x="199"/>
        <item m="1" x="171"/>
        <item m="1" x="187"/>
        <item x="10"/>
        <item m="1" x="158"/>
        <item x="33"/>
        <item m="1" x="151"/>
        <item x="11"/>
        <item x="9"/>
        <item m="1" x="232"/>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numFmtId="1" showAll="0"/>
    <pivotField showAll="0"/>
    <pivotField dataField="1" numFmtId="2" showAll="0"/>
    <pivotField numFmtId="2" showAll="0"/>
  </pivotFields>
  <rowFields count="1">
    <field x="1"/>
  </rowFields>
  <rowItems count="5">
    <i>
      <x v="4"/>
    </i>
    <i>
      <x v="101"/>
    </i>
    <i>
      <x v="111"/>
    </i>
    <i>
      <x v="149"/>
    </i>
    <i>
      <x v="205"/>
    </i>
  </rowItems>
  <colItems count="1">
    <i/>
  </colItems>
  <dataFields count="1">
    <dataField name="Target Hit % Wise" fld="8" baseField="1" baseItem="51"/>
  </dataFields>
  <chartFormats count="3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9"/>
          </reference>
        </references>
      </pivotArea>
    </chartFormat>
    <chartFormat chart="0" format="2">
      <pivotArea type="data" outline="0" fieldPosition="0">
        <references count="2">
          <reference field="4294967294" count="1" selected="0">
            <x v="0"/>
          </reference>
          <reference field="1" count="1" selected="0">
            <x v="40"/>
          </reference>
        </references>
      </pivotArea>
    </chartFormat>
    <chartFormat chart="0" format="3">
      <pivotArea type="data" outline="0" fieldPosition="0">
        <references count="2">
          <reference field="4294967294" count="1" selected="0">
            <x v="0"/>
          </reference>
          <reference field="1" count="1" selected="0">
            <x v="92"/>
          </reference>
        </references>
      </pivotArea>
    </chartFormat>
    <chartFormat chart="0" format="4">
      <pivotArea type="data" outline="0" fieldPosition="0">
        <references count="2">
          <reference field="4294967294" count="1" selected="0">
            <x v="0"/>
          </reference>
          <reference field="1" count="1" selected="0">
            <x v="103"/>
          </reference>
        </references>
      </pivotArea>
    </chartFormat>
    <chartFormat chart="0" format="5">
      <pivotArea type="data" outline="0" fieldPosition="0">
        <references count="2">
          <reference field="4294967294" count="1" selected="0">
            <x v="0"/>
          </reference>
          <reference field="1" count="1" selected="0">
            <x v="111"/>
          </reference>
        </references>
      </pivotArea>
    </chartFormat>
    <chartFormat chart="0" format="6">
      <pivotArea type="data" outline="0" fieldPosition="0">
        <references count="2">
          <reference field="4294967294" count="1" selected="0">
            <x v="0"/>
          </reference>
          <reference field="1" count="1" selected="0">
            <x v="15"/>
          </reference>
        </references>
      </pivotArea>
    </chartFormat>
    <chartFormat chart="0" format="7">
      <pivotArea type="data" outline="0" fieldPosition="0">
        <references count="2">
          <reference field="4294967294" count="1" selected="0">
            <x v="0"/>
          </reference>
          <reference field="1" count="1" selected="0">
            <x v="28"/>
          </reference>
        </references>
      </pivotArea>
    </chartFormat>
    <chartFormat chart="0" format="8">
      <pivotArea type="data" outline="0" fieldPosition="0">
        <references count="2">
          <reference field="4294967294" count="1" selected="0">
            <x v="0"/>
          </reference>
          <reference field="1" count="1" selected="0">
            <x v="69"/>
          </reference>
        </references>
      </pivotArea>
    </chartFormat>
    <chartFormat chart="0" format="9">
      <pivotArea type="data" outline="0" fieldPosition="0">
        <references count="2">
          <reference field="4294967294" count="1" selected="0">
            <x v="0"/>
          </reference>
          <reference field="1" count="1" selected="0">
            <x v="82"/>
          </reference>
        </references>
      </pivotArea>
    </chartFormat>
    <chartFormat chart="0" format="10">
      <pivotArea type="data" outline="0" fieldPosition="0">
        <references count="2">
          <reference field="4294967294" count="1" selected="0">
            <x v="0"/>
          </reference>
          <reference field="1" count="1" selected="0">
            <x v="88"/>
          </reference>
        </references>
      </pivotArea>
    </chartFormat>
    <chartFormat chart="0" format="11">
      <pivotArea type="data" outline="0" fieldPosition="0">
        <references count="2">
          <reference field="4294967294" count="1" selected="0">
            <x v="0"/>
          </reference>
          <reference field="1" count="1" selected="0">
            <x v="2"/>
          </reference>
        </references>
      </pivotArea>
    </chartFormat>
    <chartFormat chart="0" format="12">
      <pivotArea type="data" outline="0" fieldPosition="0">
        <references count="2">
          <reference field="4294967294" count="1" selected="0">
            <x v="0"/>
          </reference>
          <reference field="1" count="1" selected="0">
            <x v="63"/>
          </reference>
        </references>
      </pivotArea>
    </chartFormat>
    <chartFormat chart="0" format="13">
      <pivotArea type="data" outline="0" fieldPosition="0">
        <references count="2">
          <reference field="4294967294" count="1" selected="0">
            <x v="0"/>
          </reference>
          <reference field="1" count="1" selected="0">
            <x v="65"/>
          </reference>
        </references>
      </pivotArea>
    </chartFormat>
    <chartFormat chart="0" format="14">
      <pivotArea type="data" outline="0" fieldPosition="0">
        <references count="2">
          <reference field="4294967294" count="1" selected="0">
            <x v="0"/>
          </reference>
          <reference field="1" count="1" selected="0">
            <x v="76"/>
          </reference>
        </references>
      </pivotArea>
    </chartFormat>
    <chartFormat chart="0" format="15">
      <pivotArea type="data" outline="0" fieldPosition="0">
        <references count="2">
          <reference field="4294967294" count="1" selected="0">
            <x v="0"/>
          </reference>
          <reference field="1" count="1" selected="0">
            <x v="114"/>
          </reference>
        </references>
      </pivotArea>
    </chartFormat>
    <chartFormat chart="0" format="16">
      <pivotArea type="data" outline="0" fieldPosition="0">
        <references count="2">
          <reference field="4294967294" count="1" selected="0">
            <x v="0"/>
          </reference>
          <reference field="1" count="1" selected="0">
            <x v="25"/>
          </reference>
        </references>
      </pivotArea>
    </chartFormat>
    <chartFormat chart="0" format="17">
      <pivotArea type="data" outline="0" fieldPosition="0">
        <references count="2">
          <reference field="4294967294" count="1" selected="0">
            <x v="0"/>
          </reference>
          <reference field="1" count="1" selected="0">
            <x v="60"/>
          </reference>
        </references>
      </pivotArea>
    </chartFormat>
    <chartFormat chart="0" format="18">
      <pivotArea type="data" outline="0" fieldPosition="0">
        <references count="2">
          <reference field="4294967294" count="1" selected="0">
            <x v="0"/>
          </reference>
          <reference field="1" count="1" selected="0">
            <x v="67"/>
          </reference>
        </references>
      </pivotArea>
    </chartFormat>
    <chartFormat chart="0" format="19">
      <pivotArea type="data" outline="0" fieldPosition="0">
        <references count="2">
          <reference field="4294967294" count="1" selected="0">
            <x v="0"/>
          </reference>
          <reference field="1" count="1" selected="0">
            <x v="77"/>
          </reference>
        </references>
      </pivotArea>
    </chartFormat>
    <chartFormat chart="0" format="20">
      <pivotArea type="data" outline="0" fieldPosition="0">
        <references count="2">
          <reference field="4294967294" count="1" selected="0">
            <x v="0"/>
          </reference>
          <reference field="1" count="1" selected="0">
            <x v="104"/>
          </reference>
        </references>
      </pivotArea>
    </chartFormat>
    <chartFormat chart="0" format="21">
      <pivotArea type="data" outline="0" fieldPosition="0">
        <references count="2">
          <reference field="4294967294" count="1" selected="0">
            <x v="0"/>
          </reference>
          <reference field="1" count="1" selected="0">
            <x v="17"/>
          </reference>
        </references>
      </pivotArea>
    </chartFormat>
    <chartFormat chart="0" format="22">
      <pivotArea type="data" outline="0" fieldPosition="0">
        <references count="2">
          <reference field="4294967294" count="1" selected="0">
            <x v="0"/>
          </reference>
          <reference field="1" count="1" selected="0">
            <x v="71"/>
          </reference>
        </references>
      </pivotArea>
    </chartFormat>
    <chartFormat chart="0" format="23">
      <pivotArea type="data" outline="0" fieldPosition="0">
        <references count="2">
          <reference field="4294967294" count="1" selected="0">
            <x v="0"/>
          </reference>
          <reference field="1" count="1" selected="0">
            <x v="102"/>
          </reference>
        </references>
      </pivotArea>
    </chartFormat>
    <chartFormat chart="0" format="24">
      <pivotArea type="data" outline="0" fieldPosition="0">
        <references count="2">
          <reference field="4294967294" count="1" selected="0">
            <x v="0"/>
          </reference>
          <reference field="1" count="1" selected="0">
            <x v="108"/>
          </reference>
        </references>
      </pivotArea>
    </chartFormat>
    <chartFormat chart="0" format="25">
      <pivotArea type="data" outline="0" fieldPosition="0">
        <references count="2">
          <reference field="4294967294" count="1" selected="0">
            <x v="0"/>
          </reference>
          <reference field="1" count="1" selected="0">
            <x v="130"/>
          </reference>
        </references>
      </pivotArea>
    </chartFormat>
    <chartFormat chart="0" format="26">
      <pivotArea type="data" outline="0" fieldPosition="0">
        <references count="2">
          <reference field="4294967294" count="1" selected="0">
            <x v="0"/>
          </reference>
          <reference field="1" count="1" selected="0">
            <x v="0"/>
          </reference>
        </references>
      </pivotArea>
    </chartFormat>
    <chartFormat chart="0" format="27">
      <pivotArea type="data" outline="0" fieldPosition="0">
        <references count="2">
          <reference field="4294967294" count="1" selected="0">
            <x v="0"/>
          </reference>
          <reference field="1" count="1" selected="0">
            <x v="13"/>
          </reference>
        </references>
      </pivotArea>
    </chartFormat>
    <chartFormat chart="0" format="28">
      <pivotArea type="data" outline="0" fieldPosition="0">
        <references count="2">
          <reference field="4294967294" count="1" selected="0">
            <x v="0"/>
          </reference>
          <reference field="1" count="1" selected="0">
            <x v="51"/>
          </reference>
        </references>
      </pivotArea>
    </chartFormat>
    <chartFormat chart="0" format="29">
      <pivotArea type="data" outline="0" fieldPosition="0">
        <references count="2">
          <reference field="4294967294" count="1" selected="0">
            <x v="0"/>
          </reference>
          <reference field="1" count="1" selected="0">
            <x v="101"/>
          </reference>
        </references>
      </pivotArea>
    </chartFormat>
    <chartFormat chart="0" format="30">
      <pivotArea type="data" outline="0" fieldPosition="0">
        <references count="2">
          <reference field="4294967294" count="1" selected="0">
            <x v="0"/>
          </reference>
          <reference field="1" count="1" selected="0">
            <x v="129"/>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0426B1A-FAAA-4C59-A5EE-B802B4673245}" sourceName="Region">
  <pivotTables>
    <pivotTable tabId="2" name="PivotTable1"/>
    <pivotTable tabId="2" name="PivotTable4"/>
  </pivotTables>
  <data>
    <tabular pivotCacheId="1339962448">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82CAD7F-6EA3-433C-8CCA-B8CDC486C07C}"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E6138-5817-43D0-9FD6-E47253F1F3FB}">
  <sheetPr codeName="Sheet1"/>
  <dimension ref="A1:O25"/>
  <sheetViews>
    <sheetView showGridLines="0" showRowColHeaders="0" tabSelected="1" workbookViewId="0">
      <selection activeCell="A5" sqref="A5"/>
    </sheetView>
  </sheetViews>
  <sheetFormatPr defaultRowHeight="14.25"/>
  <cols>
    <col min="1" max="1" width="15.28515625" bestFit="1" customWidth="1"/>
    <col min="2" max="2" width="11.7109375" bestFit="1" customWidth="1"/>
    <col min="3" max="3" width="2.7109375" customWidth="1"/>
    <col min="4" max="4" width="19.7109375" customWidth="1"/>
    <col min="5" max="5" width="11.7109375" bestFit="1" customWidth="1"/>
    <col min="6" max="6" width="3.28515625" customWidth="1"/>
    <col min="7" max="7" width="14.85546875" bestFit="1" customWidth="1"/>
    <col min="8" max="8" width="15" bestFit="1" customWidth="1"/>
    <col min="9" max="9" width="3.140625" customWidth="1"/>
    <col min="10" max="10" width="22.5703125" customWidth="1"/>
    <col min="11" max="11" width="27.85546875" customWidth="1"/>
  </cols>
  <sheetData>
    <row r="1" spans="1:15" ht="34.15" customHeight="1">
      <c r="A1" s="7" t="b">
        <v>1</v>
      </c>
      <c r="B1" s="7"/>
      <c r="C1" s="7"/>
      <c r="D1" s="7" t="b">
        <v>0</v>
      </c>
      <c r="E1" s="7"/>
      <c r="F1" s="7"/>
      <c r="G1" s="7" t="b">
        <v>0</v>
      </c>
      <c r="H1" s="7"/>
      <c r="I1" s="7"/>
      <c r="J1" s="7" t="b">
        <v>1</v>
      </c>
      <c r="K1" s="7"/>
      <c r="L1" s="8"/>
      <c r="M1" s="8"/>
      <c r="N1" s="8"/>
      <c r="O1" s="8"/>
    </row>
    <row r="2" spans="1:15" ht="43.5" customHeight="1">
      <c r="A2" s="7"/>
      <c r="B2" s="7"/>
      <c r="C2" s="7"/>
      <c r="D2" s="7"/>
      <c r="E2" s="7"/>
      <c r="F2" s="7"/>
      <c r="G2" s="7"/>
      <c r="H2" s="7"/>
      <c r="I2" s="7"/>
      <c r="J2" s="7"/>
      <c r="K2" s="7"/>
      <c r="L2" s="8"/>
      <c r="M2" s="8"/>
      <c r="N2" s="8"/>
      <c r="O2" s="8"/>
    </row>
    <row r="3" spans="1:15">
      <c r="A3" s="4" t="s">
        <v>0</v>
      </c>
      <c r="B3" t="s">
        <v>1</v>
      </c>
      <c r="C3" s="7"/>
      <c r="D3" s="4" t="s">
        <v>0</v>
      </c>
      <c r="E3" t="s">
        <v>1</v>
      </c>
      <c r="F3" s="7"/>
      <c r="G3" s="4" t="s">
        <v>0</v>
      </c>
      <c r="H3" t="s">
        <v>2</v>
      </c>
      <c r="I3" s="7"/>
      <c r="J3" s="4" t="s">
        <v>0</v>
      </c>
      <c r="K3" t="s">
        <v>3</v>
      </c>
    </row>
    <row r="4" spans="1:15">
      <c r="A4" s="5" t="s">
        <v>4</v>
      </c>
      <c r="B4" s="6">
        <v>256.60439560439562</v>
      </c>
      <c r="C4" s="7"/>
      <c r="D4" s="5" t="s">
        <v>5</v>
      </c>
      <c r="E4" s="6">
        <v>107</v>
      </c>
      <c r="F4" s="7"/>
      <c r="G4" s="5" t="s">
        <v>6</v>
      </c>
      <c r="H4" s="6">
        <v>77.778021978021954</v>
      </c>
      <c r="I4" s="7"/>
      <c r="J4" s="5" t="s">
        <v>7</v>
      </c>
      <c r="K4" s="6">
        <v>78.599999999999994</v>
      </c>
    </row>
    <row r="5" spans="1:15">
      <c r="A5" s="5" t="s">
        <v>8</v>
      </c>
      <c r="B5" s="6">
        <v>252</v>
      </c>
      <c r="C5" s="7"/>
      <c r="D5" s="5" t="s">
        <v>7</v>
      </c>
      <c r="E5" s="6">
        <v>107</v>
      </c>
      <c r="F5" s="7"/>
      <c r="G5" s="5" t="s">
        <v>9</v>
      </c>
      <c r="H5" s="6">
        <v>123.62087912087908</v>
      </c>
      <c r="I5" s="7"/>
      <c r="J5" s="5" t="s">
        <v>10</v>
      </c>
      <c r="K5" s="6">
        <v>78.384615384615387</v>
      </c>
    </row>
    <row r="6" spans="1:15">
      <c r="A6" s="5" t="s">
        <v>11</v>
      </c>
      <c r="B6" s="6">
        <v>225.84615384615381</v>
      </c>
      <c r="C6" s="7"/>
      <c r="D6" s="5" t="s">
        <v>12</v>
      </c>
      <c r="E6" s="6">
        <v>56</v>
      </c>
      <c r="F6" s="7"/>
      <c r="G6" s="5" t="s">
        <v>13</v>
      </c>
      <c r="H6" s="6">
        <v>85.027472527472526</v>
      </c>
      <c r="I6" s="7"/>
      <c r="J6" s="5" t="s">
        <v>14</v>
      </c>
      <c r="K6" s="6">
        <v>70.8</v>
      </c>
    </row>
    <row r="7" spans="1:15">
      <c r="A7" s="5" t="s">
        <v>15</v>
      </c>
      <c r="B7" s="6">
        <v>222.6813186813186</v>
      </c>
      <c r="C7" s="7"/>
      <c r="D7" s="5" t="s">
        <v>16</v>
      </c>
      <c r="E7" s="6">
        <v>96</v>
      </c>
      <c r="F7" s="7"/>
      <c r="G7" s="5" t="s">
        <v>17</v>
      </c>
      <c r="H7" s="6">
        <v>82.035164835164835</v>
      </c>
      <c r="I7" s="7"/>
      <c r="J7" s="5" t="s">
        <v>18</v>
      </c>
      <c r="K7" s="6">
        <v>72.364835164835156</v>
      </c>
    </row>
    <row r="8" spans="1:15">
      <c r="A8" s="5" t="s">
        <v>19</v>
      </c>
      <c r="B8" s="6">
        <v>240.62637362637361</v>
      </c>
      <c r="C8" s="7"/>
      <c r="D8" s="5" t="s">
        <v>20</v>
      </c>
      <c r="E8" s="6">
        <v>104.1538461538462</v>
      </c>
      <c r="F8" s="7"/>
      <c r="G8" s="5" t="s">
        <v>21</v>
      </c>
      <c r="H8" s="6">
        <v>96.652747252747247</v>
      </c>
      <c r="I8" s="7"/>
      <c r="J8" s="5" t="s">
        <v>22</v>
      </c>
      <c r="K8" s="6">
        <v>66.75824175824178</v>
      </c>
    </row>
    <row r="9" spans="1:15">
      <c r="A9" s="7"/>
      <c r="B9" s="7"/>
      <c r="C9" s="7"/>
      <c r="D9" s="7"/>
      <c r="E9" s="7"/>
      <c r="F9" s="7"/>
      <c r="G9" s="7"/>
      <c r="H9" s="7"/>
      <c r="I9" s="7"/>
      <c r="J9" s="7"/>
      <c r="K9" s="7"/>
      <c r="L9" s="8"/>
      <c r="M9" s="8"/>
      <c r="N9" s="8"/>
      <c r="O9" s="8"/>
    </row>
    <row r="10" spans="1:15">
      <c r="A10" s="7"/>
      <c r="B10" s="7"/>
      <c r="C10" s="7"/>
      <c r="D10" s="7"/>
      <c r="E10" s="7"/>
      <c r="F10" s="7"/>
      <c r="G10" s="7"/>
      <c r="H10" s="7"/>
      <c r="I10" s="7"/>
      <c r="J10" s="7"/>
      <c r="K10" s="7"/>
      <c r="L10" s="8"/>
      <c r="M10" s="8"/>
      <c r="N10" s="8"/>
      <c r="O10" s="8"/>
    </row>
    <row r="11" spans="1:15">
      <c r="A11" s="7"/>
      <c r="B11" s="7"/>
      <c r="C11" s="7"/>
      <c r="D11" s="7"/>
      <c r="E11" s="7"/>
      <c r="F11" s="7"/>
      <c r="G11" s="7"/>
      <c r="H11" s="7"/>
      <c r="I11" s="7"/>
      <c r="J11" s="7"/>
      <c r="K11" s="7"/>
      <c r="L11" s="8"/>
      <c r="M11" s="8"/>
      <c r="N11" s="8"/>
      <c r="O11" s="8"/>
    </row>
    <row r="12" spans="1:15">
      <c r="A12" s="7"/>
      <c r="B12" s="7"/>
      <c r="C12" s="7"/>
      <c r="D12" s="7"/>
      <c r="E12" s="7"/>
      <c r="F12" s="7"/>
      <c r="G12" s="7"/>
      <c r="H12" s="7"/>
      <c r="I12" s="7"/>
      <c r="J12" s="7"/>
      <c r="K12" s="7"/>
      <c r="L12" s="8"/>
      <c r="M12" s="8"/>
      <c r="N12" s="8"/>
      <c r="O12" s="8"/>
    </row>
    <row r="13" spans="1:15">
      <c r="A13" s="7"/>
      <c r="B13" s="7"/>
      <c r="C13" s="7"/>
      <c r="D13" s="7"/>
      <c r="E13" s="7"/>
      <c r="F13" s="7"/>
      <c r="G13" s="7"/>
      <c r="H13" s="7"/>
      <c r="I13" s="7"/>
      <c r="J13" s="7"/>
      <c r="K13" s="7"/>
      <c r="L13" s="8"/>
      <c r="M13" s="8"/>
      <c r="N13" s="8"/>
      <c r="O13" s="8"/>
    </row>
    <row r="14" spans="1:15">
      <c r="A14" s="7"/>
      <c r="B14" s="7"/>
      <c r="C14" s="7"/>
      <c r="D14" s="7"/>
      <c r="E14" s="7"/>
      <c r="F14" s="7"/>
      <c r="G14" s="7"/>
      <c r="H14" s="7"/>
      <c r="I14" s="7"/>
      <c r="J14" s="7"/>
      <c r="K14" s="7"/>
      <c r="L14" s="8"/>
      <c r="M14" s="8"/>
      <c r="N14" s="8"/>
      <c r="O14" s="8"/>
    </row>
    <row r="15" spans="1:15">
      <c r="A15" s="7"/>
      <c r="B15" s="7"/>
      <c r="C15" s="7"/>
      <c r="D15" s="7"/>
      <c r="E15" s="7"/>
      <c r="F15" s="7"/>
      <c r="G15" s="7"/>
      <c r="H15" s="7"/>
      <c r="I15" s="7"/>
      <c r="J15" s="7"/>
      <c r="K15" s="7"/>
      <c r="L15" s="8"/>
      <c r="M15" s="8"/>
      <c r="N15" s="8"/>
      <c r="O15" s="8"/>
    </row>
    <row r="16" spans="1:15">
      <c r="A16" s="7"/>
      <c r="B16" s="7"/>
      <c r="C16" s="7"/>
      <c r="D16" s="7"/>
      <c r="E16" s="7"/>
      <c r="F16" s="7"/>
      <c r="G16" s="7"/>
      <c r="H16" s="7"/>
      <c r="I16" s="7"/>
      <c r="J16" s="7"/>
      <c r="K16" s="7"/>
      <c r="L16" s="8"/>
      <c r="M16" s="8"/>
      <c r="N16" s="8"/>
      <c r="O16" s="8"/>
    </row>
    <row r="17" spans="1:15">
      <c r="A17" s="7"/>
      <c r="B17" s="7"/>
      <c r="C17" s="7"/>
      <c r="D17" s="7"/>
      <c r="E17" s="7"/>
      <c r="F17" s="7"/>
      <c r="G17" s="7"/>
      <c r="H17" s="7"/>
      <c r="I17" s="7"/>
      <c r="J17" s="7"/>
      <c r="K17" s="7"/>
      <c r="L17" s="8"/>
      <c r="M17" s="8"/>
      <c r="N17" s="8"/>
      <c r="O17" s="8"/>
    </row>
    <row r="18" spans="1:15">
      <c r="A18" s="7"/>
      <c r="B18" s="7"/>
      <c r="C18" s="7"/>
      <c r="D18" s="7"/>
      <c r="E18" s="7"/>
      <c r="F18" s="7"/>
      <c r="G18" s="7"/>
      <c r="H18" s="7"/>
      <c r="I18" s="7"/>
      <c r="J18" s="7"/>
      <c r="K18" s="7"/>
      <c r="L18" s="8"/>
      <c r="M18" s="8"/>
      <c r="N18" s="8"/>
      <c r="O18" s="8"/>
    </row>
    <row r="19" spans="1:15">
      <c r="A19" s="7"/>
      <c r="B19" s="7"/>
      <c r="C19" s="7"/>
      <c r="D19" s="7"/>
      <c r="E19" s="7"/>
      <c r="F19" s="7"/>
      <c r="G19" s="7"/>
      <c r="H19" s="7"/>
      <c r="I19" s="7"/>
      <c r="J19" s="7"/>
      <c r="K19" s="7"/>
      <c r="L19" s="8"/>
      <c r="M19" s="8"/>
      <c r="N19" s="8"/>
      <c r="O19" s="8"/>
    </row>
    <row r="20" spans="1:15">
      <c r="A20" s="7"/>
      <c r="B20" s="7"/>
      <c r="C20" s="7"/>
      <c r="D20" s="7"/>
      <c r="E20" s="7"/>
      <c r="F20" s="7"/>
      <c r="G20" s="7"/>
      <c r="H20" s="7"/>
      <c r="I20" s="7"/>
      <c r="J20" s="7"/>
      <c r="K20" s="7"/>
      <c r="L20" s="8"/>
      <c r="M20" s="8"/>
      <c r="N20" s="8"/>
      <c r="O20" s="8"/>
    </row>
    <row r="21" spans="1:15">
      <c r="A21" s="7"/>
      <c r="B21" s="7"/>
      <c r="C21" s="7"/>
      <c r="D21" s="7"/>
      <c r="E21" s="7"/>
      <c r="F21" s="7"/>
      <c r="G21" s="7"/>
      <c r="H21" s="7"/>
      <c r="I21" s="7"/>
      <c r="J21" s="7"/>
      <c r="K21" s="7"/>
      <c r="L21" s="8"/>
      <c r="M21" s="8"/>
      <c r="N21" s="8"/>
      <c r="O21" s="8"/>
    </row>
    <row r="22" spans="1:15">
      <c r="A22" s="7"/>
      <c r="B22" s="7"/>
      <c r="C22" s="7"/>
      <c r="D22" s="7"/>
      <c r="E22" s="7"/>
      <c r="F22" s="7"/>
      <c r="G22" s="7"/>
      <c r="H22" s="7"/>
      <c r="I22" s="7"/>
      <c r="J22" s="7"/>
      <c r="K22" s="7"/>
      <c r="L22" s="8"/>
      <c r="M22" s="8"/>
      <c r="N22" s="8"/>
      <c r="O22" s="8"/>
    </row>
    <row r="23" spans="1:15">
      <c r="A23" s="7"/>
      <c r="B23" s="7"/>
      <c r="C23" s="7"/>
      <c r="D23" s="7"/>
      <c r="E23" s="7"/>
      <c r="F23" s="7"/>
      <c r="G23" s="7"/>
      <c r="H23" s="7"/>
      <c r="I23" s="7"/>
      <c r="J23" s="7"/>
      <c r="K23" s="7"/>
      <c r="L23" s="8"/>
      <c r="M23" s="8"/>
      <c r="N23" s="8"/>
      <c r="O23" s="8"/>
    </row>
    <row r="24" spans="1:15">
      <c r="A24" s="7"/>
      <c r="B24" s="7"/>
      <c r="C24" s="7"/>
      <c r="D24" s="7"/>
      <c r="E24" s="7"/>
      <c r="F24" s="7"/>
      <c r="G24" s="7"/>
      <c r="H24" s="7"/>
      <c r="I24" s="7"/>
      <c r="J24" s="7"/>
      <c r="K24" s="7"/>
      <c r="L24" s="8"/>
      <c r="M24" s="8"/>
      <c r="N24" s="8"/>
      <c r="O24" s="8"/>
    </row>
    <row r="25" spans="1:15">
      <c r="L25" s="8"/>
      <c r="M25" s="8"/>
      <c r="N25" s="8"/>
      <c r="O25" s="8"/>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276225</xdr:colOff>
                    <xdr:row>1</xdr:row>
                    <xdr:rowOff>190500</xdr:rowOff>
                  </from>
                  <to>
                    <xdr:col>1</xdr:col>
                    <xdr:colOff>66675</xdr:colOff>
                    <xdr:row>1</xdr:row>
                    <xdr:rowOff>438150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3</xdr:col>
                    <xdr:colOff>376238</xdr:colOff>
                    <xdr:row>1</xdr:row>
                    <xdr:rowOff>176213</xdr:rowOff>
                  </from>
                  <to>
                    <xdr:col>3</xdr:col>
                    <xdr:colOff>1262063</xdr:colOff>
                    <xdr:row>1</xdr:row>
                    <xdr:rowOff>423863</xdr:rowOff>
                  </to>
                </anchor>
              </controlPr>
            </control>
          </mc:Choice>
        </mc:AlternateContent>
        <mc:AlternateContent xmlns:mc="http://schemas.openxmlformats.org/markup-compatibility/2006">
          <mc:Choice Requires="x14">
            <control shapeId="1032" r:id="rId10" name="Check Box 8">
              <controlPr defaultSize="0" autoFill="0" autoLine="0" autoPict="0" macro="[0]!SlicerConnection">
                <anchor moveWithCells="1">
                  <from>
                    <xdr:col>6</xdr:col>
                    <xdr:colOff>385763</xdr:colOff>
                    <xdr:row>1</xdr:row>
                    <xdr:rowOff>185738</xdr:rowOff>
                  </from>
                  <to>
                    <xdr:col>7</xdr:col>
                    <xdr:colOff>214313</xdr:colOff>
                    <xdr:row>1</xdr:row>
                    <xdr:rowOff>433388</xdr:rowOff>
                  </to>
                </anchor>
              </controlPr>
            </control>
          </mc:Choice>
        </mc:AlternateContent>
        <mc:AlternateContent xmlns:mc="http://schemas.openxmlformats.org/markup-compatibility/2006">
          <mc:Choice Requires="x14">
            <control shapeId="1034" r:id="rId11" name="Check Box 10">
              <controlPr defaultSize="0" autoFill="0" autoLine="0" autoPict="0" macro="[0]!SlicerConnection">
                <anchor moveWithCells="1">
                  <from>
                    <xdr:col>9</xdr:col>
                    <xdr:colOff>1071563</xdr:colOff>
                    <xdr:row>1</xdr:row>
                    <xdr:rowOff>185738</xdr:rowOff>
                  </from>
                  <to>
                    <xdr:col>10</xdr:col>
                    <xdr:colOff>347663</xdr:colOff>
                    <xdr:row>1</xdr:row>
                    <xdr:rowOff>433388</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DCD1-6DDD-4CA7-90C3-EB1DB4B0C5BF}">
  <sheetPr codeName="Sheet2"/>
  <dimension ref="A1:N142"/>
  <sheetViews>
    <sheetView workbookViewId="0">
      <selection activeCell="M129" sqref="M129"/>
    </sheetView>
  </sheetViews>
  <sheetFormatPr defaultRowHeight="14.25"/>
  <cols>
    <col min="1" max="1" width="15.42578125" customWidth="1"/>
    <col min="2" max="2" width="12.5703125" bestFit="1" customWidth="1"/>
    <col min="4" max="4" width="5.140625" bestFit="1" customWidth="1"/>
    <col min="5" max="6" width="4.7109375" bestFit="1" customWidth="1"/>
    <col min="9" max="9" width="10" bestFit="1" customWidth="1"/>
    <col min="10" max="10" width="17.140625" bestFit="1" customWidth="1"/>
    <col min="13" max="13" width="17.140625" bestFit="1" customWidth="1"/>
  </cols>
  <sheetData>
    <row r="1" spans="1:14">
      <c r="A1" t="s">
        <v>23</v>
      </c>
      <c r="B1" t="s">
        <v>0</v>
      </c>
      <c r="C1" t="s">
        <v>24</v>
      </c>
      <c r="D1" t="s">
        <v>25</v>
      </c>
      <c r="E1" t="s">
        <v>26</v>
      </c>
      <c r="F1" t="s">
        <v>27</v>
      </c>
      <c r="G1" t="s">
        <v>28</v>
      </c>
      <c r="H1" t="s">
        <v>29</v>
      </c>
      <c r="I1" t="s">
        <v>30</v>
      </c>
      <c r="J1" t="s">
        <v>31</v>
      </c>
    </row>
    <row r="2" spans="1:14">
      <c r="A2" t="s">
        <v>32</v>
      </c>
      <c r="B2" t="s">
        <v>33</v>
      </c>
      <c r="C2" t="s">
        <v>34</v>
      </c>
      <c r="D2">
        <v>56</v>
      </c>
      <c r="E2" s="2">
        <v>77.395604395604394</v>
      </c>
      <c r="F2">
        <v>56</v>
      </c>
      <c r="G2" s="2">
        <f>SUM(D2:F2)</f>
        <v>189.39560439560438</v>
      </c>
      <c r="H2">
        <v>500</v>
      </c>
      <c r="I2" s="1">
        <f>G2*100/H2</f>
        <v>37.879120879120876</v>
      </c>
      <c r="J2" s="1">
        <f>100-I2</f>
        <v>62.120879120879124</v>
      </c>
      <c r="L2" s="1"/>
      <c r="M2" s="1"/>
      <c r="N2" s="3"/>
    </row>
    <row r="3" spans="1:14">
      <c r="A3" t="s">
        <v>35</v>
      </c>
      <c r="B3" t="s">
        <v>36</v>
      </c>
      <c r="C3" t="s">
        <v>37</v>
      </c>
      <c r="D3">
        <v>45</v>
      </c>
      <c r="E3" s="2">
        <v>77.829670329670293</v>
      </c>
      <c r="F3">
        <v>45</v>
      </c>
      <c r="G3" s="2">
        <f t="shared" ref="G3:G66" si="0">SUM(D3:F3)</f>
        <v>167.82967032967031</v>
      </c>
      <c r="H3">
        <v>500</v>
      </c>
      <c r="I3" s="1">
        <f>G3*100/H3</f>
        <v>33.565934065934059</v>
      </c>
      <c r="J3" s="1">
        <f t="shared" ref="J3:J66" si="1">100-I3</f>
        <v>66.434065934065941</v>
      </c>
      <c r="L3" s="1"/>
      <c r="M3" s="1"/>
      <c r="N3" s="3"/>
    </row>
    <row r="4" spans="1:14">
      <c r="A4" t="s">
        <v>38</v>
      </c>
      <c r="B4" t="s">
        <v>39</v>
      </c>
      <c r="C4" t="s">
        <v>40</v>
      </c>
      <c r="D4">
        <v>67</v>
      </c>
      <c r="E4" s="2">
        <v>78.263736263736206</v>
      </c>
      <c r="F4">
        <v>67</v>
      </c>
      <c r="G4" s="2">
        <f t="shared" si="0"/>
        <v>212.26373626373621</v>
      </c>
      <c r="H4">
        <v>500</v>
      </c>
      <c r="I4" s="1">
        <f t="shared" ref="I4:I66" si="2">G4*100/H4</f>
        <v>42.452747252747244</v>
      </c>
      <c r="J4" s="1">
        <f t="shared" si="1"/>
        <v>57.547252747252756</v>
      </c>
      <c r="L4" s="1"/>
      <c r="M4" s="1"/>
      <c r="N4" s="3"/>
    </row>
    <row r="5" spans="1:14">
      <c r="A5" t="s">
        <v>41</v>
      </c>
      <c r="B5" t="s">
        <v>42</v>
      </c>
      <c r="C5" t="s">
        <v>43</v>
      </c>
      <c r="D5">
        <v>54</v>
      </c>
      <c r="E5" s="2">
        <v>78.697802197802204</v>
      </c>
      <c r="F5">
        <v>54</v>
      </c>
      <c r="G5" s="2">
        <f t="shared" si="0"/>
        <v>186.69780219780222</v>
      </c>
      <c r="H5">
        <v>500</v>
      </c>
      <c r="I5" s="1">
        <f t="shared" si="2"/>
        <v>37.339560439560444</v>
      </c>
      <c r="J5" s="1">
        <f t="shared" si="1"/>
        <v>62.660439560439556</v>
      </c>
      <c r="L5" s="1"/>
      <c r="M5" s="1"/>
    </row>
    <row r="6" spans="1:14">
      <c r="A6" t="s">
        <v>44</v>
      </c>
      <c r="B6" t="s">
        <v>45</v>
      </c>
      <c r="C6" t="s">
        <v>46</v>
      </c>
      <c r="D6">
        <v>67</v>
      </c>
      <c r="E6" s="2">
        <v>79.131868131868103</v>
      </c>
      <c r="F6">
        <v>67</v>
      </c>
      <c r="G6" s="2">
        <f t="shared" si="0"/>
        <v>213.13186813186809</v>
      </c>
      <c r="H6">
        <v>500</v>
      </c>
      <c r="I6" s="1">
        <f t="shared" si="2"/>
        <v>42.626373626373621</v>
      </c>
      <c r="J6" s="1">
        <f t="shared" si="1"/>
        <v>57.373626373626379</v>
      </c>
      <c r="L6" s="1"/>
      <c r="M6" s="1"/>
    </row>
    <row r="7" spans="1:14">
      <c r="A7" t="s">
        <v>47</v>
      </c>
      <c r="B7" t="s">
        <v>48</v>
      </c>
      <c r="C7" t="s">
        <v>49</v>
      </c>
      <c r="D7">
        <v>78</v>
      </c>
      <c r="E7" s="2">
        <v>79.565934065934002</v>
      </c>
      <c r="F7">
        <v>78</v>
      </c>
      <c r="G7" s="2">
        <f t="shared" si="0"/>
        <v>235.56593406593402</v>
      </c>
      <c r="H7">
        <v>500</v>
      </c>
      <c r="I7" s="1">
        <f t="shared" si="2"/>
        <v>47.1131868131868</v>
      </c>
      <c r="J7" s="1">
        <f t="shared" si="1"/>
        <v>52.8868131868132</v>
      </c>
      <c r="L7" s="1"/>
      <c r="M7" s="1"/>
    </row>
    <row r="8" spans="1:14">
      <c r="A8" t="s">
        <v>50</v>
      </c>
      <c r="B8" t="s">
        <v>51</v>
      </c>
      <c r="C8" t="s">
        <v>52</v>
      </c>
      <c r="D8">
        <v>98</v>
      </c>
      <c r="E8" s="2">
        <v>80</v>
      </c>
      <c r="F8">
        <v>98</v>
      </c>
      <c r="G8" s="2">
        <f t="shared" si="0"/>
        <v>276</v>
      </c>
      <c r="H8">
        <v>500</v>
      </c>
      <c r="I8" s="1">
        <f t="shared" si="2"/>
        <v>55.2</v>
      </c>
      <c r="J8" s="1">
        <f t="shared" si="1"/>
        <v>44.8</v>
      </c>
      <c r="L8" s="1"/>
      <c r="M8" s="1"/>
    </row>
    <row r="9" spans="1:14">
      <c r="A9" t="s">
        <v>53</v>
      </c>
      <c r="B9" t="s">
        <v>54</v>
      </c>
      <c r="C9" t="s">
        <v>55</v>
      </c>
      <c r="D9">
        <v>67</v>
      </c>
      <c r="E9" s="2">
        <v>80.434065934065899</v>
      </c>
      <c r="F9">
        <v>67</v>
      </c>
      <c r="G9" s="2">
        <f t="shared" si="0"/>
        <v>214.4340659340659</v>
      </c>
      <c r="H9">
        <v>500</v>
      </c>
      <c r="I9" s="1">
        <f t="shared" si="2"/>
        <v>42.886813186813185</v>
      </c>
      <c r="J9" s="1">
        <f t="shared" si="1"/>
        <v>57.113186813186815</v>
      </c>
      <c r="L9" s="1"/>
      <c r="M9" s="1"/>
    </row>
    <row r="10" spans="1:14">
      <c r="A10" t="s">
        <v>56</v>
      </c>
      <c r="B10" t="s">
        <v>6</v>
      </c>
      <c r="C10" t="s">
        <v>34</v>
      </c>
      <c r="D10">
        <v>45</v>
      </c>
      <c r="E10" s="2">
        <v>80.868131868131798</v>
      </c>
      <c r="F10">
        <v>45</v>
      </c>
      <c r="G10" s="2">
        <f t="shared" si="0"/>
        <v>170.8681318681318</v>
      </c>
      <c r="H10">
        <v>500</v>
      </c>
      <c r="I10" s="1">
        <f t="shared" si="2"/>
        <v>34.173626373626355</v>
      </c>
      <c r="J10" s="1">
        <f t="shared" si="1"/>
        <v>65.826373626373652</v>
      </c>
      <c r="L10" s="1"/>
      <c r="M10" s="1"/>
    </row>
    <row r="11" spans="1:14">
      <c r="A11" t="s">
        <v>57</v>
      </c>
      <c r="B11" t="s">
        <v>58</v>
      </c>
      <c r="C11" t="s">
        <v>37</v>
      </c>
      <c r="D11">
        <v>32</v>
      </c>
      <c r="E11" s="2">
        <v>81.302197802197796</v>
      </c>
      <c r="F11">
        <v>32</v>
      </c>
      <c r="G11" s="2">
        <f t="shared" si="0"/>
        <v>145.30219780219778</v>
      </c>
      <c r="H11">
        <v>500</v>
      </c>
      <c r="I11" s="1">
        <f t="shared" si="2"/>
        <v>29.060439560439558</v>
      </c>
      <c r="J11" s="1">
        <f t="shared" si="1"/>
        <v>70.939560439560438</v>
      </c>
      <c r="L11" s="1"/>
      <c r="M11" s="1"/>
    </row>
    <row r="12" spans="1:14">
      <c r="A12" t="s">
        <v>59</v>
      </c>
      <c r="B12" t="s">
        <v>60</v>
      </c>
      <c r="C12" t="s">
        <v>40</v>
      </c>
      <c r="D12">
        <v>45</v>
      </c>
      <c r="E12" s="2">
        <v>81.736263736263695</v>
      </c>
      <c r="F12">
        <v>45</v>
      </c>
      <c r="G12" s="2">
        <f t="shared" si="0"/>
        <v>171.73626373626371</v>
      </c>
      <c r="H12">
        <v>500</v>
      </c>
      <c r="I12" s="1">
        <f t="shared" si="2"/>
        <v>34.347252747252746</v>
      </c>
      <c r="J12" s="1">
        <f t="shared" si="1"/>
        <v>65.652747252747247</v>
      </c>
      <c r="L12" s="1"/>
      <c r="M12" s="1"/>
    </row>
    <row r="13" spans="1:14">
      <c r="A13" t="s">
        <v>61</v>
      </c>
      <c r="B13" t="s">
        <v>62</v>
      </c>
      <c r="C13" t="s">
        <v>43</v>
      </c>
      <c r="D13">
        <v>65</v>
      </c>
      <c r="E13" s="2">
        <v>82.170329670329707</v>
      </c>
      <c r="F13">
        <v>65</v>
      </c>
      <c r="G13" s="2">
        <f t="shared" si="0"/>
        <v>212.17032967032969</v>
      </c>
      <c r="H13">
        <v>500</v>
      </c>
      <c r="I13" s="1">
        <f t="shared" si="2"/>
        <v>42.434065934065941</v>
      </c>
      <c r="J13" s="1">
        <f t="shared" si="1"/>
        <v>57.565934065934059</v>
      </c>
      <c r="L13" s="1"/>
      <c r="M13" s="1"/>
    </row>
    <row r="14" spans="1:14">
      <c r="A14" t="s">
        <v>63</v>
      </c>
      <c r="B14" t="s">
        <v>4</v>
      </c>
      <c r="C14" t="s">
        <v>46</v>
      </c>
      <c r="D14">
        <v>87</v>
      </c>
      <c r="E14" s="2">
        <v>82.604395604395606</v>
      </c>
      <c r="F14">
        <v>87</v>
      </c>
      <c r="G14" s="2">
        <f t="shared" si="0"/>
        <v>256.60439560439562</v>
      </c>
      <c r="H14">
        <v>500</v>
      </c>
      <c r="I14" s="1">
        <f t="shared" si="2"/>
        <v>51.32087912087912</v>
      </c>
      <c r="J14" s="1">
        <f t="shared" si="1"/>
        <v>48.67912087912088</v>
      </c>
      <c r="L14" s="1"/>
      <c r="M14" s="1"/>
    </row>
    <row r="15" spans="1:14">
      <c r="A15" t="s">
        <v>64</v>
      </c>
      <c r="B15" t="s">
        <v>65</v>
      </c>
      <c r="C15" t="s">
        <v>49</v>
      </c>
      <c r="D15">
        <v>34</v>
      </c>
      <c r="E15" s="2">
        <v>83.038461538461505</v>
      </c>
      <c r="F15">
        <v>34</v>
      </c>
      <c r="G15" s="2">
        <f t="shared" si="0"/>
        <v>151.03846153846149</v>
      </c>
      <c r="H15">
        <v>500</v>
      </c>
      <c r="I15" s="1">
        <f t="shared" si="2"/>
        <v>30.207692307692298</v>
      </c>
      <c r="J15" s="1">
        <f t="shared" si="1"/>
        <v>69.792307692307702</v>
      </c>
      <c r="L15" s="1"/>
      <c r="M15" s="1"/>
    </row>
    <row r="16" spans="1:14">
      <c r="A16" t="s">
        <v>66</v>
      </c>
      <c r="B16" t="s">
        <v>67</v>
      </c>
      <c r="C16" t="s">
        <v>52</v>
      </c>
      <c r="D16">
        <v>23</v>
      </c>
      <c r="E16" s="2">
        <v>83.472527472527403</v>
      </c>
      <c r="F16">
        <v>23</v>
      </c>
      <c r="G16" s="2">
        <f t="shared" si="0"/>
        <v>129.47252747252742</v>
      </c>
      <c r="H16">
        <v>500</v>
      </c>
      <c r="I16" s="1">
        <f t="shared" si="2"/>
        <v>25.894505494505484</v>
      </c>
      <c r="J16" s="1">
        <f t="shared" si="1"/>
        <v>74.105494505494519</v>
      </c>
      <c r="L16" s="1"/>
      <c r="M16" s="1"/>
    </row>
    <row r="17" spans="1:13">
      <c r="A17" t="s">
        <v>68</v>
      </c>
      <c r="B17" t="s">
        <v>9</v>
      </c>
      <c r="C17" t="s">
        <v>55</v>
      </c>
      <c r="D17">
        <v>90</v>
      </c>
      <c r="E17" s="2">
        <v>83.906593406593402</v>
      </c>
      <c r="F17">
        <v>90</v>
      </c>
      <c r="G17" s="2">
        <f t="shared" si="0"/>
        <v>263.9065934065934</v>
      </c>
      <c r="H17">
        <v>500</v>
      </c>
      <c r="I17" s="1">
        <f t="shared" si="2"/>
        <v>52.781318681318673</v>
      </c>
      <c r="J17" s="1">
        <f t="shared" si="1"/>
        <v>47.218681318681327</v>
      </c>
      <c r="L17" s="1"/>
      <c r="M17" s="1"/>
    </row>
    <row r="18" spans="1:13">
      <c r="A18" t="s">
        <v>69</v>
      </c>
      <c r="B18" t="s">
        <v>70</v>
      </c>
      <c r="C18" t="s">
        <v>34</v>
      </c>
      <c r="D18">
        <v>78</v>
      </c>
      <c r="E18" s="2">
        <v>84.3406593406593</v>
      </c>
      <c r="F18">
        <v>78</v>
      </c>
      <c r="G18" s="2">
        <f t="shared" si="0"/>
        <v>240.3406593406593</v>
      </c>
      <c r="H18">
        <v>500</v>
      </c>
      <c r="I18" s="1">
        <f t="shared" si="2"/>
        <v>48.068131868131857</v>
      </c>
      <c r="J18" s="1">
        <f t="shared" si="1"/>
        <v>51.931868131868143</v>
      </c>
      <c r="L18" s="1"/>
      <c r="M18" s="1"/>
    </row>
    <row r="19" spans="1:13">
      <c r="A19" t="s">
        <v>71</v>
      </c>
      <c r="B19" t="s">
        <v>72</v>
      </c>
      <c r="C19" t="s">
        <v>37</v>
      </c>
      <c r="D19">
        <v>68</v>
      </c>
      <c r="E19" s="2">
        <v>84.774725274725299</v>
      </c>
      <c r="F19">
        <v>68</v>
      </c>
      <c r="G19" s="2">
        <f t="shared" si="0"/>
        <v>220.77472527472531</v>
      </c>
      <c r="H19">
        <v>500</v>
      </c>
      <c r="I19" s="1">
        <f t="shared" si="2"/>
        <v>44.15494505494506</v>
      </c>
      <c r="J19" s="1">
        <f t="shared" si="1"/>
        <v>55.84505494505494</v>
      </c>
      <c r="L19" s="1"/>
      <c r="M19" s="1"/>
    </row>
    <row r="20" spans="1:13">
      <c r="A20" t="s">
        <v>73</v>
      </c>
      <c r="B20" t="s">
        <v>74</v>
      </c>
      <c r="C20" t="s">
        <v>40</v>
      </c>
      <c r="D20">
        <v>50</v>
      </c>
      <c r="E20" s="2">
        <v>85.208791208791197</v>
      </c>
      <c r="F20">
        <v>50</v>
      </c>
      <c r="G20" s="2">
        <f t="shared" si="0"/>
        <v>185.20879120879118</v>
      </c>
      <c r="H20">
        <v>500</v>
      </c>
      <c r="I20" s="1">
        <f t="shared" si="2"/>
        <v>37.041758241758238</v>
      </c>
      <c r="J20" s="1">
        <f t="shared" si="1"/>
        <v>62.958241758241762</v>
      </c>
      <c r="L20" s="1"/>
      <c r="M20" s="1"/>
    </row>
    <row r="21" spans="1:13">
      <c r="A21" t="s">
        <v>75</v>
      </c>
      <c r="B21" t="s">
        <v>76</v>
      </c>
      <c r="C21" t="s">
        <v>43</v>
      </c>
      <c r="D21">
        <v>56</v>
      </c>
      <c r="E21" s="2">
        <v>85.642857142857096</v>
      </c>
      <c r="F21">
        <v>56</v>
      </c>
      <c r="G21" s="2">
        <f t="shared" si="0"/>
        <v>197.64285714285711</v>
      </c>
      <c r="H21">
        <v>500</v>
      </c>
      <c r="I21" s="1">
        <f t="shared" si="2"/>
        <v>39.528571428571418</v>
      </c>
      <c r="J21" s="1">
        <f t="shared" si="1"/>
        <v>60.471428571428582</v>
      </c>
      <c r="L21" s="1"/>
      <c r="M21" s="1"/>
    </row>
    <row r="22" spans="1:13">
      <c r="A22" t="s">
        <v>77</v>
      </c>
      <c r="B22" t="s">
        <v>10</v>
      </c>
      <c r="C22" t="s">
        <v>46</v>
      </c>
      <c r="D22">
        <v>11</v>
      </c>
      <c r="E22" s="2">
        <v>86.076923076923094</v>
      </c>
      <c r="F22">
        <v>11</v>
      </c>
      <c r="G22" s="2">
        <f t="shared" si="0"/>
        <v>108.07692307692309</v>
      </c>
      <c r="H22">
        <v>500</v>
      </c>
      <c r="I22" s="1">
        <f t="shared" si="2"/>
        <v>21.615384615384617</v>
      </c>
      <c r="J22" s="1">
        <f t="shared" si="1"/>
        <v>78.384615384615387</v>
      </c>
      <c r="L22" s="1"/>
      <c r="M22" s="1"/>
    </row>
    <row r="23" spans="1:13">
      <c r="A23" t="s">
        <v>78</v>
      </c>
      <c r="B23" t="s">
        <v>79</v>
      </c>
      <c r="C23" t="s">
        <v>49</v>
      </c>
      <c r="D23">
        <v>22</v>
      </c>
      <c r="E23" s="2">
        <v>86.510989010988993</v>
      </c>
      <c r="F23">
        <v>22</v>
      </c>
      <c r="G23" s="2">
        <f t="shared" si="0"/>
        <v>130.51098901098899</v>
      </c>
      <c r="H23">
        <v>500</v>
      </c>
      <c r="I23" s="1">
        <f t="shared" si="2"/>
        <v>26.1021978021978</v>
      </c>
      <c r="J23" s="1">
        <f t="shared" si="1"/>
        <v>73.897802197802207</v>
      </c>
      <c r="L23" s="1"/>
      <c r="M23" s="1"/>
    </row>
    <row r="24" spans="1:13">
      <c r="A24" t="s">
        <v>80</v>
      </c>
      <c r="B24" t="s">
        <v>81</v>
      </c>
      <c r="C24" t="s">
        <v>52</v>
      </c>
      <c r="D24">
        <v>33</v>
      </c>
      <c r="E24" s="2">
        <v>86.945054945054906</v>
      </c>
      <c r="F24">
        <v>33</v>
      </c>
      <c r="G24" s="2">
        <f t="shared" si="0"/>
        <v>152.94505494505489</v>
      </c>
      <c r="H24">
        <v>500</v>
      </c>
      <c r="I24" s="1">
        <f t="shared" si="2"/>
        <v>30.589010989010976</v>
      </c>
      <c r="J24" s="1">
        <f t="shared" si="1"/>
        <v>69.410989010989027</v>
      </c>
      <c r="L24" s="1"/>
      <c r="M24" s="1"/>
    </row>
    <row r="25" spans="1:13">
      <c r="A25" t="s">
        <v>82</v>
      </c>
      <c r="B25" t="s">
        <v>83</v>
      </c>
      <c r="C25" t="s">
        <v>55</v>
      </c>
      <c r="D25">
        <v>44</v>
      </c>
      <c r="E25" s="2">
        <v>87.379120879120904</v>
      </c>
      <c r="F25">
        <v>44</v>
      </c>
      <c r="G25" s="2">
        <f t="shared" si="0"/>
        <v>175.3791208791209</v>
      </c>
      <c r="H25">
        <v>500</v>
      </c>
      <c r="I25" s="1">
        <f t="shared" si="2"/>
        <v>35.075824175824181</v>
      </c>
      <c r="J25" s="1">
        <f t="shared" si="1"/>
        <v>64.924175824175819</v>
      </c>
      <c r="L25" s="1"/>
      <c r="M25" s="1"/>
    </row>
    <row r="26" spans="1:13">
      <c r="A26" t="s">
        <v>84</v>
      </c>
      <c r="B26" t="s">
        <v>85</v>
      </c>
      <c r="C26" t="s">
        <v>34</v>
      </c>
      <c r="D26">
        <v>55</v>
      </c>
      <c r="E26" s="2">
        <v>87.813186813186803</v>
      </c>
      <c r="F26">
        <v>55</v>
      </c>
      <c r="G26" s="2">
        <f t="shared" si="0"/>
        <v>197.8131868131868</v>
      </c>
      <c r="H26">
        <v>500</v>
      </c>
      <c r="I26" s="1">
        <f t="shared" si="2"/>
        <v>39.562637362637361</v>
      </c>
      <c r="J26" s="1">
        <f t="shared" si="1"/>
        <v>60.437362637362639</v>
      </c>
      <c r="L26" s="1"/>
      <c r="M26" s="1"/>
    </row>
    <row r="27" spans="1:13">
      <c r="A27" t="s">
        <v>86</v>
      </c>
      <c r="B27" t="s">
        <v>87</v>
      </c>
      <c r="C27" t="s">
        <v>37</v>
      </c>
      <c r="D27">
        <v>66</v>
      </c>
      <c r="E27">
        <v>56</v>
      </c>
      <c r="F27">
        <v>66</v>
      </c>
      <c r="G27" s="2">
        <f t="shared" si="0"/>
        <v>188</v>
      </c>
      <c r="H27">
        <v>500</v>
      </c>
      <c r="I27" s="1">
        <f t="shared" si="2"/>
        <v>37.6</v>
      </c>
      <c r="J27" s="1">
        <f t="shared" si="1"/>
        <v>62.4</v>
      </c>
      <c r="L27" s="1"/>
      <c r="M27" s="1"/>
    </row>
    <row r="28" spans="1:13">
      <c r="A28" t="s">
        <v>88</v>
      </c>
      <c r="B28" t="s">
        <v>89</v>
      </c>
      <c r="C28" t="s">
        <v>40</v>
      </c>
      <c r="D28">
        <v>77</v>
      </c>
      <c r="E28">
        <v>45</v>
      </c>
      <c r="F28">
        <v>77</v>
      </c>
      <c r="G28" s="2">
        <f t="shared" si="0"/>
        <v>199</v>
      </c>
      <c r="H28">
        <v>500</v>
      </c>
      <c r="I28" s="1">
        <f t="shared" si="2"/>
        <v>39.799999999999997</v>
      </c>
      <c r="J28" s="1">
        <f t="shared" si="1"/>
        <v>60.2</v>
      </c>
      <c r="L28" s="1"/>
      <c r="M28" s="1"/>
    </row>
    <row r="29" spans="1:13">
      <c r="A29" t="s">
        <v>90</v>
      </c>
      <c r="B29" t="s">
        <v>91</v>
      </c>
      <c r="C29" t="s">
        <v>43</v>
      </c>
      <c r="D29">
        <v>88</v>
      </c>
      <c r="E29">
        <v>67</v>
      </c>
      <c r="F29">
        <v>88</v>
      </c>
      <c r="G29" s="2">
        <f t="shared" si="0"/>
        <v>243</v>
      </c>
      <c r="H29">
        <v>500</v>
      </c>
      <c r="I29" s="1">
        <f t="shared" si="2"/>
        <v>48.6</v>
      </c>
      <c r="J29" s="1">
        <f t="shared" si="1"/>
        <v>51.4</v>
      </c>
      <c r="L29" s="1"/>
      <c r="M29" s="1"/>
    </row>
    <row r="30" spans="1:13">
      <c r="A30" t="s">
        <v>92</v>
      </c>
      <c r="B30" t="s">
        <v>8</v>
      </c>
      <c r="C30" t="s">
        <v>46</v>
      </c>
      <c r="D30">
        <v>99</v>
      </c>
      <c r="E30">
        <v>54</v>
      </c>
      <c r="F30">
        <v>99</v>
      </c>
      <c r="G30" s="2">
        <f t="shared" si="0"/>
        <v>252</v>
      </c>
      <c r="H30">
        <v>500</v>
      </c>
      <c r="I30" s="1">
        <f t="shared" si="2"/>
        <v>50.4</v>
      </c>
      <c r="J30" s="1">
        <f t="shared" si="1"/>
        <v>49.6</v>
      </c>
      <c r="L30" s="1"/>
      <c r="M30" s="1"/>
    </row>
    <row r="31" spans="1:13">
      <c r="A31" t="s">
        <v>93</v>
      </c>
      <c r="B31" t="s">
        <v>94</v>
      </c>
      <c r="C31" t="s">
        <v>49</v>
      </c>
      <c r="D31">
        <v>98</v>
      </c>
      <c r="E31">
        <v>67</v>
      </c>
      <c r="F31">
        <v>98</v>
      </c>
      <c r="G31" s="2">
        <f t="shared" si="0"/>
        <v>263</v>
      </c>
      <c r="H31">
        <v>500</v>
      </c>
      <c r="I31" s="1">
        <f t="shared" si="2"/>
        <v>52.6</v>
      </c>
      <c r="J31" s="1">
        <f t="shared" si="1"/>
        <v>47.4</v>
      </c>
      <c r="L31" s="1"/>
      <c r="M31" s="1"/>
    </row>
    <row r="32" spans="1:13">
      <c r="A32" t="s">
        <v>95</v>
      </c>
      <c r="B32" t="s">
        <v>96</v>
      </c>
      <c r="C32" t="s">
        <v>52</v>
      </c>
      <c r="D32">
        <v>87</v>
      </c>
      <c r="E32">
        <v>78</v>
      </c>
      <c r="F32">
        <v>87</v>
      </c>
      <c r="G32" s="2">
        <f t="shared" si="0"/>
        <v>252</v>
      </c>
      <c r="H32">
        <v>500</v>
      </c>
      <c r="I32" s="1">
        <f t="shared" si="2"/>
        <v>50.4</v>
      </c>
      <c r="J32" s="1">
        <f t="shared" si="1"/>
        <v>49.6</v>
      </c>
      <c r="L32" s="1"/>
      <c r="M32" s="1"/>
    </row>
    <row r="33" spans="1:13">
      <c r="A33" t="s">
        <v>97</v>
      </c>
      <c r="B33" t="s">
        <v>98</v>
      </c>
      <c r="C33" t="s">
        <v>55</v>
      </c>
      <c r="D33">
        <v>76</v>
      </c>
      <c r="E33">
        <v>98</v>
      </c>
      <c r="F33">
        <v>76</v>
      </c>
      <c r="G33" s="2">
        <f t="shared" si="0"/>
        <v>250</v>
      </c>
      <c r="H33">
        <v>500</v>
      </c>
      <c r="I33" s="1">
        <f t="shared" si="2"/>
        <v>50</v>
      </c>
      <c r="J33" s="1">
        <f t="shared" si="1"/>
        <v>50</v>
      </c>
      <c r="L33" s="1"/>
      <c r="M33" s="1"/>
    </row>
    <row r="34" spans="1:13">
      <c r="A34" t="s">
        <v>99</v>
      </c>
      <c r="B34" t="s">
        <v>100</v>
      </c>
      <c r="C34" t="s">
        <v>34</v>
      </c>
      <c r="D34">
        <v>65</v>
      </c>
      <c r="E34">
        <v>67</v>
      </c>
      <c r="F34">
        <v>65</v>
      </c>
      <c r="G34" s="2">
        <f t="shared" si="0"/>
        <v>197</v>
      </c>
      <c r="H34">
        <v>500</v>
      </c>
      <c r="I34" s="1">
        <f t="shared" si="2"/>
        <v>39.4</v>
      </c>
      <c r="J34" s="1">
        <f t="shared" si="1"/>
        <v>60.6</v>
      </c>
      <c r="L34" s="1"/>
      <c r="M34" s="1"/>
    </row>
    <row r="35" spans="1:13">
      <c r="A35" t="s">
        <v>101</v>
      </c>
      <c r="B35" t="s">
        <v>102</v>
      </c>
      <c r="C35" t="s">
        <v>37</v>
      </c>
      <c r="D35">
        <v>54</v>
      </c>
      <c r="E35">
        <v>45</v>
      </c>
      <c r="F35">
        <v>54</v>
      </c>
      <c r="G35" s="2">
        <f t="shared" si="0"/>
        <v>153</v>
      </c>
      <c r="H35">
        <v>500</v>
      </c>
      <c r="I35" s="1">
        <f t="shared" si="2"/>
        <v>30.6</v>
      </c>
      <c r="J35" s="1">
        <f t="shared" si="1"/>
        <v>69.400000000000006</v>
      </c>
      <c r="L35" s="1"/>
      <c r="M35" s="1"/>
    </row>
    <row r="36" spans="1:13">
      <c r="A36" t="s">
        <v>103</v>
      </c>
      <c r="B36" t="s">
        <v>104</v>
      </c>
      <c r="C36" t="s">
        <v>40</v>
      </c>
      <c r="D36">
        <v>43</v>
      </c>
      <c r="E36">
        <v>32</v>
      </c>
      <c r="F36">
        <v>43</v>
      </c>
      <c r="G36" s="2">
        <f t="shared" si="0"/>
        <v>118</v>
      </c>
      <c r="H36">
        <v>500</v>
      </c>
      <c r="I36" s="1">
        <f t="shared" si="2"/>
        <v>23.6</v>
      </c>
      <c r="J36" s="1">
        <f t="shared" si="1"/>
        <v>76.400000000000006</v>
      </c>
      <c r="L36" s="1"/>
      <c r="M36" s="1"/>
    </row>
    <row r="37" spans="1:13">
      <c r="A37" t="s">
        <v>105</v>
      </c>
      <c r="B37" t="s">
        <v>106</v>
      </c>
      <c r="C37" t="s">
        <v>43</v>
      </c>
      <c r="D37">
        <v>32</v>
      </c>
      <c r="E37">
        <v>45</v>
      </c>
      <c r="F37">
        <v>32</v>
      </c>
      <c r="G37" s="2">
        <f t="shared" si="0"/>
        <v>109</v>
      </c>
      <c r="H37">
        <v>500</v>
      </c>
      <c r="I37" s="1">
        <f t="shared" si="2"/>
        <v>21.8</v>
      </c>
      <c r="J37" s="1">
        <f t="shared" si="1"/>
        <v>78.2</v>
      </c>
      <c r="L37" s="1"/>
      <c r="M37" s="1"/>
    </row>
    <row r="38" spans="1:13">
      <c r="A38" t="s">
        <v>107</v>
      </c>
      <c r="B38" t="s">
        <v>7</v>
      </c>
      <c r="C38" t="s">
        <v>46</v>
      </c>
      <c r="D38">
        <v>21</v>
      </c>
      <c r="E38">
        <v>65</v>
      </c>
      <c r="F38">
        <v>21</v>
      </c>
      <c r="G38" s="2">
        <f t="shared" si="0"/>
        <v>107</v>
      </c>
      <c r="H38">
        <v>500</v>
      </c>
      <c r="I38" s="1">
        <f t="shared" si="2"/>
        <v>21.4</v>
      </c>
      <c r="J38" s="1">
        <f t="shared" si="1"/>
        <v>78.599999999999994</v>
      </c>
      <c r="L38" s="1"/>
      <c r="M38" s="1"/>
    </row>
    <row r="39" spans="1:13">
      <c r="A39" t="s">
        <v>108</v>
      </c>
      <c r="B39" t="s">
        <v>5</v>
      </c>
      <c r="C39" t="s">
        <v>49</v>
      </c>
      <c r="D39">
        <v>10</v>
      </c>
      <c r="E39">
        <v>87</v>
      </c>
      <c r="F39">
        <v>10</v>
      </c>
      <c r="G39" s="2">
        <f t="shared" si="0"/>
        <v>107</v>
      </c>
      <c r="H39">
        <v>500</v>
      </c>
      <c r="I39" s="1">
        <f t="shared" si="2"/>
        <v>21.4</v>
      </c>
      <c r="J39" s="1">
        <f t="shared" si="1"/>
        <v>78.599999999999994</v>
      </c>
      <c r="L39" s="1"/>
      <c r="M39" s="1"/>
    </row>
    <row r="40" spans="1:13">
      <c r="A40" t="s">
        <v>109</v>
      </c>
      <c r="B40" t="s">
        <v>12</v>
      </c>
      <c r="C40" t="s">
        <v>52</v>
      </c>
      <c r="D40">
        <v>11</v>
      </c>
      <c r="E40">
        <v>34</v>
      </c>
      <c r="F40">
        <v>11</v>
      </c>
      <c r="G40" s="2">
        <f t="shared" si="0"/>
        <v>56</v>
      </c>
      <c r="H40">
        <v>500</v>
      </c>
      <c r="I40" s="1">
        <f t="shared" si="2"/>
        <v>11.2</v>
      </c>
      <c r="J40" s="1">
        <f t="shared" si="1"/>
        <v>88.8</v>
      </c>
      <c r="L40" s="1"/>
      <c r="M40" s="1"/>
    </row>
    <row r="41" spans="1:13">
      <c r="A41" t="s">
        <v>110</v>
      </c>
      <c r="B41" t="s">
        <v>111</v>
      </c>
      <c r="C41" t="s">
        <v>55</v>
      </c>
      <c r="D41">
        <v>45</v>
      </c>
      <c r="E41">
        <v>23</v>
      </c>
      <c r="F41">
        <v>45</v>
      </c>
      <c r="G41" s="2">
        <f t="shared" si="0"/>
        <v>113</v>
      </c>
      <c r="H41">
        <v>500</v>
      </c>
      <c r="I41" s="1">
        <f t="shared" si="2"/>
        <v>22.6</v>
      </c>
      <c r="J41" s="1">
        <f t="shared" si="1"/>
        <v>77.400000000000006</v>
      </c>
      <c r="L41" s="1"/>
      <c r="M41" s="1"/>
    </row>
    <row r="42" spans="1:13">
      <c r="A42" t="s">
        <v>112</v>
      </c>
      <c r="B42" t="s">
        <v>13</v>
      </c>
      <c r="C42" t="s">
        <v>34</v>
      </c>
      <c r="D42">
        <v>76</v>
      </c>
      <c r="E42">
        <v>90</v>
      </c>
      <c r="F42">
        <v>76</v>
      </c>
      <c r="G42" s="2">
        <f t="shared" si="0"/>
        <v>242</v>
      </c>
      <c r="H42">
        <v>500</v>
      </c>
      <c r="I42" s="1">
        <f t="shared" si="2"/>
        <v>48.4</v>
      </c>
      <c r="J42" s="1">
        <f t="shared" si="1"/>
        <v>51.6</v>
      </c>
      <c r="L42" s="1"/>
      <c r="M42" s="1"/>
    </row>
    <row r="43" spans="1:13">
      <c r="A43" t="s">
        <v>113</v>
      </c>
      <c r="B43" t="s">
        <v>114</v>
      </c>
      <c r="C43" t="s">
        <v>37</v>
      </c>
      <c r="D43">
        <v>87</v>
      </c>
      <c r="E43">
        <v>78</v>
      </c>
      <c r="F43">
        <v>87</v>
      </c>
      <c r="G43" s="2">
        <f t="shared" si="0"/>
        <v>252</v>
      </c>
      <c r="H43">
        <v>500</v>
      </c>
      <c r="I43" s="1">
        <f t="shared" si="2"/>
        <v>50.4</v>
      </c>
      <c r="J43" s="1">
        <f t="shared" si="1"/>
        <v>49.6</v>
      </c>
      <c r="L43" s="1"/>
      <c r="M43" s="1"/>
    </row>
    <row r="44" spans="1:13">
      <c r="A44" t="s">
        <v>115</v>
      </c>
      <c r="B44" t="s">
        <v>116</v>
      </c>
      <c r="C44" t="s">
        <v>40</v>
      </c>
      <c r="D44">
        <v>54</v>
      </c>
      <c r="E44">
        <v>68</v>
      </c>
      <c r="F44">
        <v>54</v>
      </c>
      <c r="G44" s="2">
        <f t="shared" si="0"/>
        <v>176</v>
      </c>
      <c r="H44">
        <v>500</v>
      </c>
      <c r="I44" s="1">
        <f t="shared" si="2"/>
        <v>35.200000000000003</v>
      </c>
      <c r="J44" s="1">
        <f t="shared" si="1"/>
        <v>64.8</v>
      </c>
      <c r="L44" s="1"/>
      <c r="M44" s="1"/>
    </row>
    <row r="45" spans="1:13">
      <c r="A45" t="s">
        <v>117</v>
      </c>
      <c r="B45" t="s">
        <v>16</v>
      </c>
      <c r="C45" t="s">
        <v>43</v>
      </c>
      <c r="D45">
        <v>23</v>
      </c>
      <c r="E45">
        <v>50</v>
      </c>
      <c r="F45">
        <v>23</v>
      </c>
      <c r="G45" s="2">
        <f t="shared" si="0"/>
        <v>96</v>
      </c>
      <c r="H45">
        <v>500</v>
      </c>
      <c r="I45" s="1">
        <f t="shared" si="2"/>
        <v>19.2</v>
      </c>
      <c r="J45" s="1">
        <f t="shared" si="1"/>
        <v>80.8</v>
      </c>
      <c r="L45" s="1"/>
      <c r="M45" s="1"/>
    </row>
    <row r="46" spans="1:13">
      <c r="A46" t="s">
        <v>118</v>
      </c>
      <c r="B46" t="s">
        <v>14</v>
      </c>
      <c r="C46" t="s">
        <v>46</v>
      </c>
      <c r="D46">
        <v>45</v>
      </c>
      <c r="E46">
        <v>56</v>
      </c>
      <c r="F46">
        <v>45</v>
      </c>
      <c r="G46" s="2">
        <f t="shared" si="0"/>
        <v>146</v>
      </c>
      <c r="H46">
        <v>500</v>
      </c>
      <c r="I46" s="1">
        <f t="shared" si="2"/>
        <v>29.2</v>
      </c>
      <c r="J46" s="1">
        <f t="shared" si="1"/>
        <v>70.8</v>
      </c>
      <c r="L46" s="1"/>
      <c r="M46" s="1"/>
    </row>
    <row r="47" spans="1:13">
      <c r="A47" t="s">
        <v>119</v>
      </c>
      <c r="B47" t="s">
        <v>20</v>
      </c>
      <c r="C47" t="s">
        <v>49</v>
      </c>
      <c r="D47" s="2">
        <v>46.576923076923102</v>
      </c>
      <c r="E47">
        <v>11</v>
      </c>
      <c r="F47" s="2">
        <v>46.576923076923102</v>
      </c>
      <c r="G47" s="2">
        <f t="shared" si="0"/>
        <v>104.1538461538462</v>
      </c>
      <c r="H47">
        <v>500</v>
      </c>
      <c r="I47" s="1">
        <f t="shared" si="2"/>
        <v>20.830769230769242</v>
      </c>
      <c r="J47" s="1">
        <f t="shared" si="1"/>
        <v>79.169230769230751</v>
      </c>
      <c r="L47" s="1"/>
      <c r="M47" s="1"/>
    </row>
    <row r="48" spans="1:13">
      <c r="A48" t="s">
        <v>120</v>
      </c>
      <c r="B48" t="s">
        <v>121</v>
      </c>
      <c r="C48" t="s">
        <v>52</v>
      </c>
      <c r="D48">
        <v>47.010989010989</v>
      </c>
      <c r="E48">
        <v>22</v>
      </c>
      <c r="F48">
        <v>47.010989010989</v>
      </c>
      <c r="G48" s="2">
        <f t="shared" si="0"/>
        <v>116.02197802197799</v>
      </c>
      <c r="H48">
        <v>500</v>
      </c>
      <c r="I48" s="1">
        <f t="shared" si="2"/>
        <v>23.2043956043956</v>
      </c>
      <c r="J48" s="1">
        <f t="shared" si="1"/>
        <v>76.7956043956044</v>
      </c>
      <c r="L48" s="1"/>
      <c r="M48" s="1"/>
    </row>
    <row r="49" spans="1:13">
      <c r="A49" t="s">
        <v>122</v>
      </c>
      <c r="B49" t="s">
        <v>123</v>
      </c>
      <c r="C49" t="s">
        <v>55</v>
      </c>
      <c r="D49" s="2">
        <v>47.445054945054899</v>
      </c>
      <c r="E49">
        <v>33</v>
      </c>
      <c r="F49" s="2">
        <v>47.445054945054899</v>
      </c>
      <c r="G49" s="2">
        <f t="shared" si="0"/>
        <v>127.89010989010978</v>
      </c>
      <c r="H49">
        <v>500</v>
      </c>
      <c r="I49" s="1">
        <f t="shared" si="2"/>
        <v>25.578021978021955</v>
      </c>
      <c r="J49" s="1">
        <f t="shared" si="1"/>
        <v>74.421978021978049</v>
      </c>
      <c r="L49" s="1"/>
      <c r="M49" s="1"/>
    </row>
    <row r="50" spans="1:13">
      <c r="A50" t="s">
        <v>124</v>
      </c>
      <c r="B50" t="s">
        <v>65</v>
      </c>
      <c r="C50" t="s">
        <v>34</v>
      </c>
      <c r="D50" s="2">
        <v>47.879120879120897</v>
      </c>
      <c r="E50">
        <v>44</v>
      </c>
      <c r="F50" s="2">
        <v>47.879120879120897</v>
      </c>
      <c r="G50" s="2">
        <f t="shared" si="0"/>
        <v>139.75824175824181</v>
      </c>
      <c r="H50">
        <v>500</v>
      </c>
      <c r="I50" s="1">
        <f t="shared" si="2"/>
        <v>27.951648351648359</v>
      </c>
      <c r="J50" s="1">
        <f t="shared" si="1"/>
        <v>72.048351648351641</v>
      </c>
      <c r="L50" s="1"/>
      <c r="M50" s="1"/>
    </row>
    <row r="51" spans="1:13">
      <c r="A51" t="s">
        <v>125</v>
      </c>
      <c r="B51" t="s">
        <v>126</v>
      </c>
      <c r="C51" t="s">
        <v>37</v>
      </c>
      <c r="D51" s="2">
        <v>48.313186813186803</v>
      </c>
      <c r="E51">
        <v>55</v>
      </c>
      <c r="F51" s="2">
        <v>48.313186813186803</v>
      </c>
      <c r="G51" s="2">
        <f t="shared" si="0"/>
        <v>151.62637362637361</v>
      </c>
      <c r="H51">
        <v>500</v>
      </c>
      <c r="I51" s="1">
        <f t="shared" si="2"/>
        <v>30.325274725274721</v>
      </c>
      <c r="J51" s="1">
        <f t="shared" si="1"/>
        <v>69.674725274725276</v>
      </c>
      <c r="L51" s="1"/>
      <c r="M51" s="1"/>
    </row>
    <row r="52" spans="1:13">
      <c r="A52" t="s">
        <v>127</v>
      </c>
      <c r="B52" t="s">
        <v>128</v>
      </c>
      <c r="C52" t="s">
        <v>40</v>
      </c>
      <c r="D52" s="2">
        <v>48.747252747252801</v>
      </c>
      <c r="E52">
        <v>66</v>
      </c>
      <c r="F52" s="2">
        <v>48.747252747252801</v>
      </c>
      <c r="G52" s="2">
        <f t="shared" si="0"/>
        <v>163.4945054945056</v>
      </c>
      <c r="H52">
        <v>500</v>
      </c>
      <c r="I52" s="1">
        <f t="shared" si="2"/>
        <v>32.698901098901125</v>
      </c>
      <c r="J52" s="1">
        <f t="shared" si="1"/>
        <v>67.301098901098868</v>
      </c>
      <c r="L52" s="1"/>
      <c r="M52" s="1"/>
    </row>
    <row r="53" spans="1:13">
      <c r="A53" t="s">
        <v>129</v>
      </c>
      <c r="B53" t="s">
        <v>17</v>
      </c>
      <c r="C53" t="s">
        <v>43</v>
      </c>
      <c r="D53" s="2">
        <v>49.1813186813187</v>
      </c>
      <c r="E53">
        <v>77</v>
      </c>
      <c r="F53" s="2">
        <v>49.1813186813187</v>
      </c>
      <c r="G53" s="2">
        <f t="shared" si="0"/>
        <v>175.3626373626374</v>
      </c>
      <c r="H53">
        <v>500</v>
      </c>
      <c r="I53" s="1">
        <f t="shared" si="2"/>
        <v>35.072527472527483</v>
      </c>
      <c r="J53" s="1">
        <f t="shared" si="1"/>
        <v>64.927472527472517</v>
      </c>
      <c r="L53" s="1"/>
      <c r="M53" s="1"/>
    </row>
    <row r="54" spans="1:13">
      <c r="A54" t="s">
        <v>130</v>
      </c>
      <c r="B54" t="s">
        <v>131</v>
      </c>
      <c r="C54" t="s">
        <v>46</v>
      </c>
      <c r="D54" s="2">
        <v>49.615384615384599</v>
      </c>
      <c r="E54">
        <v>88</v>
      </c>
      <c r="F54" s="2">
        <v>49.615384615384599</v>
      </c>
      <c r="G54" s="2">
        <f t="shared" si="0"/>
        <v>187.23076923076917</v>
      </c>
      <c r="H54">
        <v>500</v>
      </c>
      <c r="I54" s="1">
        <f t="shared" si="2"/>
        <v>37.446153846153834</v>
      </c>
      <c r="J54" s="1">
        <f t="shared" si="1"/>
        <v>62.553846153846166</v>
      </c>
      <c r="L54" s="1"/>
      <c r="M54" s="1"/>
    </row>
    <row r="55" spans="1:13">
      <c r="A55" t="s">
        <v>132</v>
      </c>
      <c r="B55" t="s">
        <v>133</v>
      </c>
      <c r="C55" t="s">
        <v>49</v>
      </c>
      <c r="D55">
        <v>50.049450549450597</v>
      </c>
      <c r="E55">
        <v>99</v>
      </c>
      <c r="F55">
        <v>50.049450549450597</v>
      </c>
      <c r="G55" s="2">
        <f t="shared" si="0"/>
        <v>199.09890109890119</v>
      </c>
      <c r="H55">
        <v>500</v>
      </c>
      <c r="I55" s="1">
        <f t="shared" si="2"/>
        <v>39.819780219780235</v>
      </c>
      <c r="J55" s="1">
        <f t="shared" si="1"/>
        <v>60.180219780219765</v>
      </c>
      <c r="L55" s="1"/>
      <c r="M55" s="1"/>
    </row>
    <row r="56" spans="1:13">
      <c r="A56" t="s">
        <v>134</v>
      </c>
      <c r="B56" t="s">
        <v>135</v>
      </c>
      <c r="C56" t="s">
        <v>52</v>
      </c>
      <c r="D56" s="2">
        <v>50.483516483516503</v>
      </c>
      <c r="E56">
        <v>98</v>
      </c>
      <c r="F56" s="2">
        <v>50.483516483516503</v>
      </c>
      <c r="G56" s="2">
        <f t="shared" si="0"/>
        <v>198.96703296703299</v>
      </c>
      <c r="H56">
        <v>500</v>
      </c>
      <c r="I56" s="1">
        <f t="shared" si="2"/>
        <v>39.793406593406601</v>
      </c>
      <c r="J56" s="1">
        <f t="shared" si="1"/>
        <v>60.206593406593399</v>
      </c>
      <c r="L56" s="1"/>
      <c r="M56" s="1"/>
    </row>
    <row r="57" spans="1:13">
      <c r="A57" t="s">
        <v>136</v>
      </c>
      <c r="B57" t="s">
        <v>137</v>
      </c>
      <c r="C57" t="s">
        <v>55</v>
      </c>
      <c r="D57" s="2">
        <v>50.917582417582402</v>
      </c>
      <c r="E57">
        <v>87</v>
      </c>
      <c r="F57" s="2">
        <v>50.917582417582402</v>
      </c>
      <c r="G57" s="2">
        <f t="shared" si="0"/>
        <v>188.83516483516479</v>
      </c>
      <c r="H57">
        <v>500</v>
      </c>
      <c r="I57" s="1">
        <f t="shared" si="2"/>
        <v>37.767032967032961</v>
      </c>
      <c r="J57" s="1">
        <f t="shared" si="1"/>
        <v>62.232967032967039</v>
      </c>
      <c r="L57" s="1"/>
      <c r="M57" s="1"/>
    </row>
    <row r="58" spans="1:13">
      <c r="A58" t="s">
        <v>138</v>
      </c>
      <c r="B58" t="s">
        <v>139</v>
      </c>
      <c r="C58" t="s">
        <v>34</v>
      </c>
      <c r="D58" s="2">
        <v>51.351648351648301</v>
      </c>
      <c r="E58">
        <v>76</v>
      </c>
      <c r="F58" s="2">
        <v>51.351648351648301</v>
      </c>
      <c r="G58" s="2">
        <f t="shared" si="0"/>
        <v>178.70329670329659</v>
      </c>
      <c r="H58">
        <v>500</v>
      </c>
      <c r="I58" s="1">
        <f t="shared" si="2"/>
        <v>35.740659340659313</v>
      </c>
      <c r="J58" s="1">
        <f t="shared" si="1"/>
        <v>64.259340659340694</v>
      </c>
      <c r="L58" s="1"/>
      <c r="M58" s="1"/>
    </row>
    <row r="59" spans="1:13">
      <c r="A59" t="s">
        <v>140</v>
      </c>
      <c r="B59" t="s">
        <v>141</v>
      </c>
      <c r="C59" t="s">
        <v>37</v>
      </c>
      <c r="D59" s="2">
        <v>51.785714285714299</v>
      </c>
      <c r="E59">
        <v>65</v>
      </c>
      <c r="F59" s="2">
        <v>51.785714285714299</v>
      </c>
      <c r="G59" s="2">
        <f t="shared" si="0"/>
        <v>168.57142857142861</v>
      </c>
      <c r="H59">
        <v>500</v>
      </c>
      <c r="I59" s="1">
        <f t="shared" si="2"/>
        <v>33.714285714285722</v>
      </c>
      <c r="J59" s="1">
        <f t="shared" si="1"/>
        <v>66.285714285714278</v>
      </c>
      <c r="L59" s="1"/>
      <c r="M59" s="1"/>
    </row>
    <row r="60" spans="1:13">
      <c r="A60" t="s">
        <v>142</v>
      </c>
      <c r="B60" t="s">
        <v>143</v>
      </c>
      <c r="C60" t="s">
        <v>40</v>
      </c>
      <c r="D60" s="2">
        <v>76</v>
      </c>
      <c r="E60">
        <v>54</v>
      </c>
      <c r="F60" s="2">
        <v>76</v>
      </c>
      <c r="G60" s="2">
        <f t="shared" si="0"/>
        <v>206</v>
      </c>
      <c r="H60">
        <v>500</v>
      </c>
      <c r="I60" s="1">
        <f t="shared" si="2"/>
        <v>41.2</v>
      </c>
      <c r="J60" s="1">
        <f t="shared" si="1"/>
        <v>58.8</v>
      </c>
      <c r="L60" s="1"/>
      <c r="M60" s="1"/>
    </row>
    <row r="61" spans="1:13">
      <c r="A61" t="s">
        <v>144</v>
      </c>
      <c r="B61" t="s">
        <v>9</v>
      </c>
      <c r="C61" t="s">
        <v>43</v>
      </c>
      <c r="D61" s="2">
        <v>52.653846153846096</v>
      </c>
      <c r="E61">
        <v>43</v>
      </c>
      <c r="F61" s="2">
        <v>52.653846153846096</v>
      </c>
      <c r="G61" s="2">
        <f t="shared" si="0"/>
        <v>148.30769230769221</v>
      </c>
      <c r="H61">
        <v>500</v>
      </c>
      <c r="I61" s="1">
        <f t="shared" si="2"/>
        <v>29.661538461538441</v>
      </c>
      <c r="J61" s="1">
        <f t="shared" si="1"/>
        <v>70.338461538461559</v>
      </c>
      <c r="L61" s="1"/>
      <c r="M61" s="1"/>
    </row>
    <row r="62" spans="1:13">
      <c r="A62" t="s">
        <v>145</v>
      </c>
      <c r="B62" t="s">
        <v>18</v>
      </c>
      <c r="C62" t="s">
        <v>46</v>
      </c>
      <c r="D62" s="2">
        <v>53.087912087912102</v>
      </c>
      <c r="E62">
        <v>32</v>
      </c>
      <c r="F62" s="2">
        <v>53.087912087912102</v>
      </c>
      <c r="G62" s="2">
        <f t="shared" si="0"/>
        <v>138.1758241758242</v>
      </c>
      <c r="H62">
        <v>500</v>
      </c>
      <c r="I62" s="1">
        <f t="shared" si="2"/>
        <v>27.63516483516484</v>
      </c>
      <c r="J62" s="1">
        <f t="shared" si="1"/>
        <v>72.364835164835156</v>
      </c>
      <c r="L62" s="1"/>
      <c r="M62" s="1"/>
    </row>
    <row r="63" spans="1:13">
      <c r="A63" t="s">
        <v>146</v>
      </c>
      <c r="B63" t="s">
        <v>147</v>
      </c>
      <c r="C63" t="s">
        <v>49</v>
      </c>
      <c r="D63" s="2">
        <v>53.521978021978001</v>
      </c>
      <c r="E63">
        <v>21</v>
      </c>
      <c r="F63" s="2">
        <v>53.521978021978001</v>
      </c>
      <c r="G63" s="2">
        <f t="shared" si="0"/>
        <v>128.043956043956</v>
      </c>
      <c r="H63">
        <v>500</v>
      </c>
      <c r="I63" s="1">
        <f t="shared" si="2"/>
        <v>25.6087912087912</v>
      </c>
      <c r="J63" s="1">
        <f t="shared" si="1"/>
        <v>74.391208791208797</v>
      </c>
      <c r="L63" s="1"/>
      <c r="M63" s="1"/>
    </row>
    <row r="64" spans="1:13">
      <c r="A64" t="s">
        <v>148</v>
      </c>
      <c r="B64" t="s">
        <v>149</v>
      </c>
      <c r="C64" t="s">
        <v>52</v>
      </c>
      <c r="D64" s="2">
        <v>53.956043956043899</v>
      </c>
      <c r="E64">
        <v>10</v>
      </c>
      <c r="F64" s="2">
        <v>53.956043956043899</v>
      </c>
      <c r="G64" s="2">
        <f t="shared" si="0"/>
        <v>117.9120879120878</v>
      </c>
      <c r="H64">
        <v>500</v>
      </c>
      <c r="I64" s="1">
        <f t="shared" si="2"/>
        <v>23.582417582417559</v>
      </c>
      <c r="J64" s="1">
        <f t="shared" si="1"/>
        <v>76.417582417582437</v>
      </c>
      <c r="L64" s="1"/>
      <c r="M64" s="1"/>
    </row>
    <row r="65" spans="1:13">
      <c r="A65" t="s">
        <v>150</v>
      </c>
      <c r="B65" t="s">
        <v>151</v>
      </c>
      <c r="C65" t="s">
        <v>55</v>
      </c>
      <c r="D65" s="2">
        <v>54.390109890109898</v>
      </c>
      <c r="E65">
        <v>11</v>
      </c>
      <c r="F65" s="2">
        <v>54.390109890109898</v>
      </c>
      <c r="G65" s="2">
        <f t="shared" si="0"/>
        <v>119.7802197802198</v>
      </c>
      <c r="H65">
        <v>500</v>
      </c>
      <c r="I65" s="1">
        <f t="shared" si="2"/>
        <v>23.95604395604396</v>
      </c>
      <c r="J65" s="1">
        <f t="shared" si="1"/>
        <v>76.043956043956044</v>
      </c>
      <c r="L65" s="1"/>
      <c r="M65" s="1"/>
    </row>
    <row r="66" spans="1:13">
      <c r="A66" t="s">
        <v>152</v>
      </c>
      <c r="B66" t="s">
        <v>153</v>
      </c>
      <c r="C66" t="s">
        <v>34</v>
      </c>
      <c r="D66" s="2">
        <v>54.824175824175803</v>
      </c>
      <c r="E66">
        <v>45</v>
      </c>
      <c r="F66" s="2">
        <v>54.824175824175803</v>
      </c>
      <c r="G66" s="2">
        <f t="shared" si="0"/>
        <v>154.64835164835159</v>
      </c>
      <c r="H66">
        <v>500</v>
      </c>
      <c r="I66" s="1">
        <f t="shared" si="2"/>
        <v>30.929670329670319</v>
      </c>
      <c r="J66" s="1">
        <f t="shared" si="1"/>
        <v>69.070329670329684</v>
      </c>
      <c r="L66" s="1"/>
      <c r="M66" s="1"/>
    </row>
    <row r="67" spans="1:13">
      <c r="A67" t="s">
        <v>154</v>
      </c>
      <c r="B67" t="s">
        <v>155</v>
      </c>
      <c r="C67" t="s">
        <v>37</v>
      </c>
      <c r="D67" s="2">
        <v>55.258241758241702</v>
      </c>
      <c r="E67" s="2">
        <v>51.785714285714299</v>
      </c>
      <c r="F67" s="2">
        <v>55.258241758241702</v>
      </c>
      <c r="G67" s="2">
        <f t="shared" ref="G67:G130" si="3">SUM(D67:F67)</f>
        <v>162.3021978021977</v>
      </c>
      <c r="H67">
        <v>500</v>
      </c>
      <c r="I67" s="1">
        <f t="shared" ref="I67:I130" si="4">G67*100/H67</f>
        <v>32.460439560439539</v>
      </c>
      <c r="J67" s="1">
        <f t="shared" ref="J67:J130" si="5">100-I67</f>
        <v>67.539560439560461</v>
      </c>
      <c r="L67" s="1"/>
      <c r="M67" s="1"/>
    </row>
    <row r="68" spans="1:13">
      <c r="A68" t="s">
        <v>156</v>
      </c>
      <c r="B68" t="s">
        <v>157</v>
      </c>
      <c r="C68" t="s">
        <v>40</v>
      </c>
      <c r="D68" s="2">
        <v>55.692307692307701</v>
      </c>
      <c r="E68" s="2">
        <v>76</v>
      </c>
      <c r="F68" s="2">
        <v>55.692307692307701</v>
      </c>
      <c r="G68" s="2">
        <f t="shared" si="3"/>
        <v>187.38461538461542</v>
      </c>
      <c r="H68">
        <v>500</v>
      </c>
      <c r="I68" s="1">
        <f t="shared" si="4"/>
        <v>37.476923076923086</v>
      </c>
      <c r="J68" s="1">
        <f t="shared" si="5"/>
        <v>62.523076923076914</v>
      </c>
      <c r="L68" s="1"/>
      <c r="M68" s="1"/>
    </row>
    <row r="69" spans="1:13">
      <c r="A69" t="s">
        <v>158</v>
      </c>
      <c r="B69" t="s">
        <v>159</v>
      </c>
      <c r="C69" t="s">
        <v>43</v>
      </c>
      <c r="D69" s="2">
        <v>56.126373626373599</v>
      </c>
      <c r="E69" s="2">
        <v>52.653846153846096</v>
      </c>
      <c r="F69" s="2">
        <v>56.126373626373599</v>
      </c>
      <c r="G69" s="2">
        <f t="shared" si="3"/>
        <v>164.90659340659329</v>
      </c>
      <c r="H69">
        <v>500</v>
      </c>
      <c r="I69" s="1">
        <f t="shared" si="4"/>
        <v>32.981318681318655</v>
      </c>
      <c r="J69" s="1">
        <f t="shared" si="5"/>
        <v>67.018681318681345</v>
      </c>
      <c r="L69" s="1"/>
      <c r="M69" s="1"/>
    </row>
    <row r="70" spans="1:13">
      <c r="A70" t="s">
        <v>160</v>
      </c>
      <c r="B70" t="s">
        <v>22</v>
      </c>
      <c r="C70" t="s">
        <v>46</v>
      </c>
      <c r="D70" s="2">
        <v>56.560439560439498</v>
      </c>
      <c r="E70" s="2">
        <v>53.087912087912102</v>
      </c>
      <c r="F70" s="2">
        <v>56.560439560439498</v>
      </c>
      <c r="G70" s="2">
        <f t="shared" si="3"/>
        <v>166.2087912087911</v>
      </c>
      <c r="H70">
        <v>500</v>
      </c>
      <c r="I70" s="1">
        <f t="shared" si="4"/>
        <v>33.24175824175822</v>
      </c>
      <c r="J70" s="1">
        <f t="shared" si="5"/>
        <v>66.75824175824178</v>
      </c>
      <c r="L70" s="1"/>
      <c r="M70" s="1"/>
    </row>
    <row r="71" spans="1:13">
      <c r="A71" t="s">
        <v>161</v>
      </c>
      <c r="B71" t="s">
        <v>162</v>
      </c>
      <c r="C71" t="s">
        <v>49</v>
      </c>
      <c r="D71" s="2">
        <v>56.994505494505503</v>
      </c>
      <c r="E71" s="2">
        <v>53.521978021978001</v>
      </c>
      <c r="F71" s="2">
        <v>56.994505494505503</v>
      </c>
      <c r="G71" s="2">
        <f t="shared" si="3"/>
        <v>167.51098901098902</v>
      </c>
      <c r="H71">
        <v>500</v>
      </c>
      <c r="I71" s="1">
        <f t="shared" si="4"/>
        <v>33.502197802197806</v>
      </c>
      <c r="J71" s="1">
        <f t="shared" si="5"/>
        <v>66.497802197802201</v>
      </c>
      <c r="L71" s="1"/>
      <c r="M71" s="1"/>
    </row>
    <row r="72" spans="1:13">
      <c r="A72" t="s">
        <v>163</v>
      </c>
      <c r="B72" t="s">
        <v>164</v>
      </c>
      <c r="C72" t="s">
        <v>52</v>
      </c>
      <c r="D72" s="2">
        <v>57.428571428571402</v>
      </c>
      <c r="E72" s="2">
        <v>53.956043956043899</v>
      </c>
      <c r="F72" s="2">
        <v>57.428571428571402</v>
      </c>
      <c r="G72" s="2">
        <f t="shared" si="3"/>
        <v>168.81318681318669</v>
      </c>
      <c r="H72">
        <v>500</v>
      </c>
      <c r="I72" s="1">
        <f t="shared" si="4"/>
        <v>33.762637362637342</v>
      </c>
      <c r="J72" s="1">
        <f t="shared" si="5"/>
        <v>66.237362637362651</v>
      </c>
      <c r="L72" s="1"/>
      <c r="M72" s="1"/>
    </row>
    <row r="73" spans="1:13">
      <c r="A73" t="s">
        <v>165</v>
      </c>
      <c r="B73" t="s">
        <v>166</v>
      </c>
      <c r="C73" t="s">
        <v>55</v>
      </c>
      <c r="D73" s="2">
        <v>57.862637362637301</v>
      </c>
      <c r="E73" s="2">
        <v>54.390109890109898</v>
      </c>
      <c r="F73" s="2">
        <v>57.862637362637301</v>
      </c>
      <c r="G73" s="2">
        <f t="shared" si="3"/>
        <v>170.1153846153845</v>
      </c>
      <c r="H73">
        <v>500</v>
      </c>
      <c r="I73" s="1">
        <f t="shared" si="4"/>
        <v>34.0230769230769</v>
      </c>
      <c r="J73" s="1">
        <f t="shared" si="5"/>
        <v>65.9769230769231</v>
      </c>
      <c r="L73" s="1"/>
      <c r="M73" s="1"/>
    </row>
    <row r="74" spans="1:13">
      <c r="A74" t="s">
        <v>167</v>
      </c>
      <c r="B74" t="s">
        <v>168</v>
      </c>
      <c r="C74" t="s">
        <v>34</v>
      </c>
      <c r="D74" s="2">
        <v>58.296703296703299</v>
      </c>
      <c r="E74" s="2">
        <v>54.824175824175803</v>
      </c>
      <c r="F74" s="2">
        <v>58.296703296703299</v>
      </c>
      <c r="G74" s="2">
        <f t="shared" si="3"/>
        <v>171.41758241758239</v>
      </c>
      <c r="H74">
        <v>500</v>
      </c>
      <c r="I74" s="1">
        <f t="shared" si="4"/>
        <v>34.283516483516479</v>
      </c>
      <c r="J74" s="1">
        <f t="shared" si="5"/>
        <v>65.716483516483521</v>
      </c>
      <c r="L74" s="1"/>
      <c r="M74" s="1"/>
    </row>
    <row r="75" spans="1:13">
      <c r="A75" t="s">
        <v>169</v>
      </c>
      <c r="B75" t="s">
        <v>170</v>
      </c>
      <c r="C75" t="s">
        <v>37</v>
      </c>
      <c r="D75" s="2">
        <v>58.730769230769198</v>
      </c>
      <c r="E75" s="2">
        <v>55.258241758241702</v>
      </c>
      <c r="F75" s="2">
        <v>58.730769230769198</v>
      </c>
      <c r="G75" s="2">
        <f t="shared" si="3"/>
        <v>172.71978021978009</v>
      </c>
      <c r="H75">
        <v>500</v>
      </c>
      <c r="I75" s="1">
        <f t="shared" si="4"/>
        <v>34.543956043956015</v>
      </c>
      <c r="J75" s="1">
        <f t="shared" si="5"/>
        <v>65.456043956043985</v>
      </c>
      <c r="L75" s="1"/>
      <c r="M75" s="1"/>
    </row>
    <row r="76" spans="1:13">
      <c r="A76" t="s">
        <v>171</v>
      </c>
      <c r="B76" t="s">
        <v>172</v>
      </c>
      <c r="C76" t="s">
        <v>40</v>
      </c>
      <c r="D76" s="2">
        <v>59.164835164835097</v>
      </c>
      <c r="E76" s="2">
        <v>55.692307692307701</v>
      </c>
      <c r="F76" s="2">
        <v>59.164835164835097</v>
      </c>
      <c r="G76" s="2">
        <f t="shared" si="3"/>
        <v>174.0219780219779</v>
      </c>
      <c r="H76">
        <v>500</v>
      </c>
      <c r="I76" s="1">
        <f t="shared" si="4"/>
        <v>34.80439560439558</v>
      </c>
      <c r="J76" s="1">
        <f t="shared" si="5"/>
        <v>65.19560439560442</v>
      </c>
      <c r="L76" s="1"/>
      <c r="M76" s="1"/>
    </row>
    <row r="77" spans="1:13">
      <c r="A77" t="s">
        <v>173</v>
      </c>
      <c r="B77" t="s">
        <v>174</v>
      </c>
      <c r="C77" t="s">
        <v>43</v>
      </c>
      <c r="D77" s="2">
        <v>59.598901098901102</v>
      </c>
      <c r="E77" s="2">
        <v>56.126373626373599</v>
      </c>
      <c r="F77" s="2">
        <v>59.598901098901102</v>
      </c>
      <c r="G77" s="2">
        <f t="shared" si="3"/>
        <v>175.3241758241758</v>
      </c>
      <c r="H77">
        <v>500</v>
      </c>
      <c r="I77" s="1">
        <f t="shared" si="4"/>
        <v>35.064835164835159</v>
      </c>
      <c r="J77" s="1">
        <f t="shared" si="5"/>
        <v>64.935164835164841</v>
      </c>
      <c r="L77" s="1"/>
      <c r="M77" s="1"/>
    </row>
    <row r="78" spans="1:13">
      <c r="A78" t="s">
        <v>175</v>
      </c>
      <c r="B78" t="s">
        <v>176</v>
      </c>
      <c r="C78" t="s">
        <v>46</v>
      </c>
      <c r="D78" s="2">
        <v>60.032967032967001</v>
      </c>
      <c r="E78" s="2">
        <v>56.560439560439498</v>
      </c>
      <c r="F78" s="2">
        <v>60.032967032967001</v>
      </c>
      <c r="G78" s="2">
        <f t="shared" si="3"/>
        <v>176.62637362637349</v>
      </c>
      <c r="H78">
        <v>500</v>
      </c>
      <c r="I78" s="1">
        <f t="shared" si="4"/>
        <v>35.325274725274703</v>
      </c>
      <c r="J78" s="1">
        <f t="shared" si="5"/>
        <v>64.67472527472529</v>
      </c>
      <c r="L78" s="1"/>
      <c r="M78" s="1"/>
    </row>
    <row r="79" spans="1:13">
      <c r="A79" t="s">
        <v>177</v>
      </c>
      <c r="B79" t="s">
        <v>178</v>
      </c>
      <c r="C79" t="s">
        <v>49</v>
      </c>
      <c r="D79" s="2">
        <v>60.4670329670329</v>
      </c>
      <c r="E79" s="2">
        <v>56.994505494505503</v>
      </c>
      <c r="F79" s="2">
        <v>60.4670329670329</v>
      </c>
      <c r="G79" s="2">
        <f t="shared" si="3"/>
        <v>177.9285714285713</v>
      </c>
      <c r="H79">
        <v>500</v>
      </c>
      <c r="I79" s="1">
        <f t="shared" si="4"/>
        <v>35.585714285714261</v>
      </c>
      <c r="J79" s="1">
        <f t="shared" si="5"/>
        <v>64.414285714285739</v>
      </c>
      <c r="L79" s="1"/>
      <c r="M79" s="1"/>
    </row>
    <row r="80" spans="1:13">
      <c r="A80" t="s">
        <v>179</v>
      </c>
      <c r="B80" t="s">
        <v>180</v>
      </c>
      <c r="C80" t="s">
        <v>52</v>
      </c>
      <c r="D80" s="2">
        <v>60.901098901098898</v>
      </c>
      <c r="E80" s="2">
        <v>57.428571428571402</v>
      </c>
      <c r="F80" s="2">
        <v>60.901098901098898</v>
      </c>
      <c r="G80" s="2">
        <f t="shared" si="3"/>
        <v>179.2307692307692</v>
      </c>
      <c r="H80">
        <v>500</v>
      </c>
      <c r="I80" s="1">
        <f t="shared" si="4"/>
        <v>35.84615384615384</v>
      </c>
      <c r="J80" s="1">
        <f t="shared" si="5"/>
        <v>64.15384615384616</v>
      </c>
      <c r="L80" s="1"/>
      <c r="M80" s="1"/>
    </row>
    <row r="81" spans="1:13">
      <c r="A81" t="s">
        <v>181</v>
      </c>
      <c r="B81" t="s">
        <v>182</v>
      </c>
      <c r="C81" t="s">
        <v>55</v>
      </c>
      <c r="D81" s="2">
        <v>61.335164835164797</v>
      </c>
      <c r="E81" s="2">
        <v>57.862637362637301</v>
      </c>
      <c r="F81" s="2">
        <v>61.335164835164797</v>
      </c>
      <c r="G81" s="2">
        <f t="shared" si="3"/>
        <v>180.53296703296689</v>
      </c>
      <c r="H81">
        <v>500</v>
      </c>
      <c r="I81" s="1">
        <f t="shared" si="4"/>
        <v>36.106593406593376</v>
      </c>
      <c r="J81" s="1">
        <f t="shared" si="5"/>
        <v>63.893406593406624</v>
      </c>
      <c r="L81" s="1"/>
      <c r="M81" s="1"/>
    </row>
    <row r="82" spans="1:13">
      <c r="A82" t="s">
        <v>183</v>
      </c>
      <c r="B82" t="s">
        <v>184</v>
      </c>
      <c r="C82" t="s">
        <v>34</v>
      </c>
      <c r="D82" s="2">
        <v>61.769230769230703</v>
      </c>
      <c r="E82" s="2">
        <v>58.296703296703299</v>
      </c>
      <c r="F82" s="2">
        <v>61.769230769230703</v>
      </c>
      <c r="G82" s="2">
        <f t="shared" si="3"/>
        <v>181.8351648351647</v>
      </c>
      <c r="H82">
        <v>500</v>
      </c>
      <c r="I82" s="1">
        <f t="shared" si="4"/>
        <v>36.367032967032941</v>
      </c>
      <c r="J82" s="1">
        <f t="shared" si="5"/>
        <v>63.632967032967059</v>
      </c>
      <c r="L82" s="1"/>
      <c r="M82" s="1"/>
    </row>
    <row r="83" spans="1:13">
      <c r="A83" t="s">
        <v>185</v>
      </c>
      <c r="B83" t="s">
        <v>13</v>
      </c>
      <c r="C83" t="s">
        <v>37</v>
      </c>
      <c r="D83" s="2">
        <v>62.203296703296701</v>
      </c>
      <c r="E83" s="2">
        <v>58.730769230769198</v>
      </c>
      <c r="F83" s="2">
        <v>62.203296703296701</v>
      </c>
      <c r="G83" s="2">
        <f t="shared" si="3"/>
        <v>183.1373626373626</v>
      </c>
      <c r="H83">
        <v>500</v>
      </c>
      <c r="I83" s="1">
        <f t="shared" si="4"/>
        <v>36.62747252747252</v>
      </c>
      <c r="J83" s="1">
        <f t="shared" si="5"/>
        <v>63.37252747252748</v>
      </c>
      <c r="L83" s="1"/>
      <c r="M83" s="1"/>
    </row>
    <row r="84" spans="1:13">
      <c r="A84" t="s">
        <v>186</v>
      </c>
      <c r="B84" t="s">
        <v>187</v>
      </c>
      <c r="C84" t="s">
        <v>40</v>
      </c>
      <c r="D84" s="2">
        <v>62.6373626373626</v>
      </c>
      <c r="E84" s="2">
        <v>59.164835164835097</v>
      </c>
      <c r="F84" s="2">
        <v>62.6373626373626</v>
      </c>
      <c r="G84" s="2">
        <f t="shared" si="3"/>
        <v>184.4395604395603</v>
      </c>
      <c r="H84">
        <v>500</v>
      </c>
      <c r="I84" s="1">
        <f t="shared" si="4"/>
        <v>36.887912087912063</v>
      </c>
      <c r="J84" s="1">
        <f t="shared" si="5"/>
        <v>63.112087912087937</v>
      </c>
      <c r="L84" s="1"/>
      <c r="M84" s="1"/>
    </row>
    <row r="85" spans="1:13">
      <c r="A85" t="s">
        <v>188</v>
      </c>
      <c r="B85" t="s">
        <v>189</v>
      </c>
      <c r="C85" t="s">
        <v>43</v>
      </c>
      <c r="D85" s="2">
        <v>63.071428571428498</v>
      </c>
      <c r="E85" s="2">
        <v>59.598901098901102</v>
      </c>
      <c r="F85" s="2">
        <v>63.071428571428498</v>
      </c>
      <c r="G85" s="2">
        <f t="shared" si="3"/>
        <v>185.74175824175811</v>
      </c>
      <c r="H85">
        <v>500</v>
      </c>
      <c r="I85" s="1">
        <f t="shared" si="4"/>
        <v>37.148351648351621</v>
      </c>
      <c r="J85" s="1">
        <f t="shared" si="5"/>
        <v>62.851648351648379</v>
      </c>
      <c r="L85" s="1"/>
      <c r="M85" s="1"/>
    </row>
    <row r="86" spans="1:13">
      <c r="A86" t="s">
        <v>190</v>
      </c>
      <c r="B86" t="s">
        <v>191</v>
      </c>
      <c r="C86" t="s">
        <v>46</v>
      </c>
      <c r="D86" s="2">
        <v>63.505494505494497</v>
      </c>
      <c r="E86" s="2">
        <v>60.032967032967001</v>
      </c>
      <c r="F86" s="2">
        <v>63.505494505494497</v>
      </c>
      <c r="G86" s="2">
        <f t="shared" si="3"/>
        <v>187.04395604395597</v>
      </c>
      <c r="H86">
        <v>500</v>
      </c>
      <c r="I86" s="1">
        <f t="shared" si="4"/>
        <v>37.4087912087912</v>
      </c>
      <c r="J86" s="1">
        <f t="shared" si="5"/>
        <v>62.5912087912088</v>
      </c>
      <c r="L86" s="1"/>
      <c r="M86" s="1"/>
    </row>
    <row r="87" spans="1:13">
      <c r="A87" t="s">
        <v>192</v>
      </c>
      <c r="B87" t="s">
        <v>193</v>
      </c>
      <c r="C87" t="s">
        <v>49</v>
      </c>
      <c r="D87" s="2">
        <v>63.939560439560402</v>
      </c>
      <c r="E87" s="2">
        <v>60.4670329670329</v>
      </c>
      <c r="F87" s="2">
        <v>63.939560439560402</v>
      </c>
      <c r="G87" s="2">
        <f t="shared" si="3"/>
        <v>188.3461538461537</v>
      </c>
      <c r="H87">
        <v>500</v>
      </c>
      <c r="I87" s="1">
        <f t="shared" si="4"/>
        <v>37.669230769230737</v>
      </c>
      <c r="J87" s="1">
        <f t="shared" si="5"/>
        <v>62.330769230769263</v>
      </c>
      <c r="L87" s="1"/>
      <c r="M87" s="1"/>
    </row>
    <row r="88" spans="1:13">
      <c r="A88" t="s">
        <v>194</v>
      </c>
      <c r="B88" t="s">
        <v>195</v>
      </c>
      <c r="C88" t="s">
        <v>52</v>
      </c>
      <c r="D88" s="2">
        <v>64.373626373626294</v>
      </c>
      <c r="E88" s="2">
        <v>60.901098901098898</v>
      </c>
      <c r="F88" s="2">
        <v>64.373626373626294</v>
      </c>
      <c r="G88" s="2">
        <f t="shared" si="3"/>
        <v>189.64835164835148</v>
      </c>
      <c r="H88">
        <v>500</v>
      </c>
      <c r="I88" s="1">
        <f t="shared" si="4"/>
        <v>37.929670329670301</v>
      </c>
      <c r="J88" s="1">
        <f t="shared" si="5"/>
        <v>62.070329670329699</v>
      </c>
      <c r="L88" s="1"/>
      <c r="M88" s="1"/>
    </row>
    <row r="89" spans="1:13">
      <c r="A89" t="s">
        <v>196</v>
      </c>
      <c r="B89" t="s">
        <v>197</v>
      </c>
      <c r="C89" t="s">
        <v>55</v>
      </c>
      <c r="D89" s="2">
        <v>64.807692307692307</v>
      </c>
      <c r="E89" s="2">
        <v>61.335164835164797</v>
      </c>
      <c r="F89" s="2">
        <v>64.807692307692307</v>
      </c>
      <c r="G89" s="2">
        <f t="shared" si="3"/>
        <v>190.95054945054943</v>
      </c>
      <c r="H89">
        <v>500</v>
      </c>
      <c r="I89" s="1">
        <f t="shared" si="4"/>
        <v>38.190109890109888</v>
      </c>
      <c r="J89" s="1">
        <f t="shared" si="5"/>
        <v>61.809890109890112</v>
      </c>
      <c r="L89" s="1"/>
      <c r="M89" s="1"/>
    </row>
    <row r="90" spans="1:13">
      <c r="A90" t="s">
        <v>198</v>
      </c>
      <c r="B90" t="s">
        <v>199</v>
      </c>
      <c r="C90" t="s">
        <v>34</v>
      </c>
      <c r="D90" s="2">
        <v>65.241758241758205</v>
      </c>
      <c r="E90" s="2">
        <v>66.978021978021999</v>
      </c>
      <c r="F90" s="2">
        <v>65.241758241758205</v>
      </c>
      <c r="G90" s="2">
        <f t="shared" si="3"/>
        <v>197.4615384615384</v>
      </c>
      <c r="H90">
        <v>500</v>
      </c>
      <c r="I90" s="1">
        <f t="shared" si="4"/>
        <v>39.492307692307683</v>
      </c>
      <c r="J90" s="1">
        <f t="shared" si="5"/>
        <v>60.507692307692317</v>
      </c>
      <c r="L90" s="1"/>
      <c r="M90" s="1"/>
    </row>
    <row r="91" spans="1:13">
      <c r="A91" t="s">
        <v>200</v>
      </c>
      <c r="B91" t="s">
        <v>201</v>
      </c>
      <c r="C91" t="s">
        <v>37</v>
      </c>
      <c r="D91" s="2">
        <v>65.675824175824104</v>
      </c>
      <c r="E91" s="2">
        <v>67.412087912087898</v>
      </c>
      <c r="F91" s="2">
        <v>65.675824175824104</v>
      </c>
      <c r="G91" s="2">
        <f t="shared" si="3"/>
        <v>198.76373626373612</v>
      </c>
      <c r="H91">
        <v>500</v>
      </c>
      <c r="I91" s="1">
        <f t="shared" si="4"/>
        <v>39.752747252747227</v>
      </c>
      <c r="J91" s="1">
        <f t="shared" si="5"/>
        <v>60.247252747252773</v>
      </c>
      <c r="L91" s="1"/>
      <c r="M91" s="1"/>
    </row>
    <row r="92" spans="1:13">
      <c r="A92" t="s">
        <v>202</v>
      </c>
      <c r="B92" t="s">
        <v>203</v>
      </c>
      <c r="C92" t="s">
        <v>40</v>
      </c>
      <c r="D92" s="2">
        <v>66.109890109890102</v>
      </c>
      <c r="E92" s="2">
        <v>67.846153846153797</v>
      </c>
      <c r="F92" s="2">
        <v>66.109890109890102</v>
      </c>
      <c r="G92" s="2">
        <f t="shared" si="3"/>
        <v>200.06593406593402</v>
      </c>
      <c r="H92">
        <v>500</v>
      </c>
      <c r="I92" s="1">
        <f t="shared" si="4"/>
        <v>40.013186813186806</v>
      </c>
      <c r="J92" s="1">
        <f t="shared" si="5"/>
        <v>59.986813186813194</v>
      </c>
      <c r="L92" s="1"/>
      <c r="M92" s="1"/>
    </row>
    <row r="93" spans="1:13">
      <c r="A93" t="s">
        <v>204</v>
      </c>
      <c r="B93" t="s">
        <v>205</v>
      </c>
      <c r="C93" t="s">
        <v>43</v>
      </c>
      <c r="D93" s="2">
        <v>66.543956043956001</v>
      </c>
      <c r="E93" s="2">
        <v>68.280219780219795</v>
      </c>
      <c r="F93" s="2">
        <v>66.543956043956001</v>
      </c>
      <c r="G93" s="2">
        <f t="shared" si="3"/>
        <v>201.3681318681318</v>
      </c>
      <c r="H93">
        <v>500</v>
      </c>
      <c r="I93" s="1">
        <f t="shared" si="4"/>
        <v>40.273626373626357</v>
      </c>
      <c r="J93" s="1">
        <f t="shared" si="5"/>
        <v>59.726373626373643</v>
      </c>
      <c r="L93" s="1"/>
      <c r="M93" s="1"/>
    </row>
    <row r="94" spans="1:13">
      <c r="A94" t="s">
        <v>206</v>
      </c>
      <c r="B94" t="s">
        <v>207</v>
      </c>
      <c r="C94" t="s">
        <v>46</v>
      </c>
      <c r="D94" s="2">
        <v>66.978021978021999</v>
      </c>
      <c r="E94" s="2">
        <v>68.714285714285694</v>
      </c>
      <c r="F94" s="2">
        <v>66.978021978021999</v>
      </c>
      <c r="G94" s="2">
        <f t="shared" si="3"/>
        <v>202.67032967032969</v>
      </c>
      <c r="H94">
        <v>500</v>
      </c>
      <c r="I94" s="1">
        <f t="shared" si="4"/>
        <v>40.534065934065943</v>
      </c>
      <c r="J94" s="1">
        <f t="shared" si="5"/>
        <v>59.465934065934057</v>
      </c>
      <c r="L94" s="1"/>
      <c r="M94" s="1"/>
    </row>
    <row r="95" spans="1:13">
      <c r="A95" t="s">
        <v>208</v>
      </c>
      <c r="B95" t="s">
        <v>209</v>
      </c>
      <c r="C95" t="s">
        <v>49</v>
      </c>
      <c r="D95" s="2">
        <v>67.412087912087898</v>
      </c>
      <c r="E95" s="2">
        <v>69.148351648351607</v>
      </c>
      <c r="F95" s="2">
        <v>67.412087912087898</v>
      </c>
      <c r="G95" s="2">
        <f t="shared" si="3"/>
        <v>203.97252747252742</v>
      </c>
      <c r="H95">
        <v>500</v>
      </c>
      <c r="I95" s="1">
        <f t="shared" si="4"/>
        <v>40.794505494505486</v>
      </c>
      <c r="J95" s="1">
        <f t="shared" si="5"/>
        <v>59.205494505494514</v>
      </c>
      <c r="L95" s="1"/>
      <c r="M95" s="1"/>
    </row>
    <row r="96" spans="1:13">
      <c r="A96" t="s">
        <v>210</v>
      </c>
      <c r="B96" t="s">
        <v>211</v>
      </c>
      <c r="C96" t="s">
        <v>52</v>
      </c>
      <c r="D96" s="2">
        <v>67.846153846153797</v>
      </c>
      <c r="E96" s="2">
        <v>69.582417582417605</v>
      </c>
      <c r="F96" s="2">
        <v>67.846153846153797</v>
      </c>
      <c r="G96" s="2">
        <f t="shared" si="3"/>
        <v>205.2747252747252</v>
      </c>
      <c r="H96">
        <v>500</v>
      </c>
      <c r="I96" s="1">
        <f t="shared" si="4"/>
        <v>41.054945054945044</v>
      </c>
      <c r="J96" s="1">
        <f t="shared" si="5"/>
        <v>58.945054945054956</v>
      </c>
      <c r="L96" s="1"/>
      <c r="M96" s="1"/>
    </row>
    <row r="97" spans="1:13">
      <c r="A97" t="s">
        <v>212</v>
      </c>
      <c r="B97" t="s">
        <v>213</v>
      </c>
      <c r="C97" t="s">
        <v>55</v>
      </c>
      <c r="D97" s="2">
        <v>68.280219780219795</v>
      </c>
      <c r="E97" s="2">
        <v>70.016483516483504</v>
      </c>
      <c r="F97" s="2">
        <v>68.280219780219795</v>
      </c>
      <c r="G97" s="2">
        <f t="shared" si="3"/>
        <v>206.57692307692309</v>
      </c>
      <c r="H97">
        <v>500</v>
      </c>
      <c r="I97" s="1">
        <f t="shared" si="4"/>
        <v>41.315384615384616</v>
      </c>
      <c r="J97" s="1">
        <f t="shared" si="5"/>
        <v>58.684615384615384</v>
      </c>
      <c r="L97" s="1"/>
      <c r="M97" s="1"/>
    </row>
    <row r="98" spans="1:13">
      <c r="A98" t="s">
        <v>214</v>
      </c>
      <c r="B98" t="s">
        <v>215</v>
      </c>
      <c r="C98" t="s">
        <v>34</v>
      </c>
      <c r="D98" s="2">
        <v>68.714285714285694</v>
      </c>
      <c r="E98" s="2">
        <v>70.450549450549403</v>
      </c>
      <c r="F98" s="2">
        <v>68.714285714285694</v>
      </c>
      <c r="G98" s="2">
        <f t="shared" si="3"/>
        <v>207.87912087912079</v>
      </c>
      <c r="H98">
        <v>500</v>
      </c>
      <c r="I98" s="1">
        <f t="shared" si="4"/>
        <v>41.57582417582416</v>
      </c>
      <c r="J98" s="1">
        <f t="shared" si="5"/>
        <v>58.42417582417584</v>
      </c>
      <c r="L98" s="1"/>
      <c r="M98" s="1"/>
    </row>
    <row r="99" spans="1:13">
      <c r="A99" t="s">
        <v>216</v>
      </c>
      <c r="B99" t="s">
        <v>217</v>
      </c>
      <c r="C99" t="s">
        <v>37</v>
      </c>
      <c r="D99" s="2">
        <v>69.148351648351607</v>
      </c>
      <c r="E99" s="2">
        <v>70.884615384615401</v>
      </c>
      <c r="F99" s="2">
        <v>69.148351648351607</v>
      </c>
      <c r="G99" s="2">
        <f t="shared" si="3"/>
        <v>209.1813186813186</v>
      </c>
      <c r="H99">
        <v>500</v>
      </c>
      <c r="I99" s="1">
        <f t="shared" si="4"/>
        <v>41.836263736263717</v>
      </c>
      <c r="J99" s="1">
        <f t="shared" si="5"/>
        <v>58.163736263736283</v>
      </c>
      <c r="L99" s="1"/>
      <c r="M99" s="1"/>
    </row>
    <row r="100" spans="1:13">
      <c r="A100" t="s">
        <v>218</v>
      </c>
      <c r="B100" t="s">
        <v>219</v>
      </c>
      <c r="C100" t="s">
        <v>40</v>
      </c>
      <c r="D100" s="2">
        <v>69.582417582417605</v>
      </c>
      <c r="E100" s="2">
        <v>71.3186813186813</v>
      </c>
      <c r="F100" s="2">
        <v>69.582417582417605</v>
      </c>
      <c r="G100" s="2">
        <f t="shared" si="3"/>
        <v>210.48351648351652</v>
      </c>
      <c r="H100">
        <v>500</v>
      </c>
      <c r="I100" s="1">
        <f t="shared" si="4"/>
        <v>42.096703296703311</v>
      </c>
      <c r="J100" s="1">
        <f t="shared" si="5"/>
        <v>57.903296703296689</v>
      </c>
      <c r="L100" s="1"/>
      <c r="M100" s="1"/>
    </row>
    <row r="101" spans="1:13">
      <c r="A101" t="s">
        <v>220</v>
      </c>
      <c r="B101" t="s">
        <v>221</v>
      </c>
      <c r="C101" t="s">
        <v>43</v>
      </c>
      <c r="D101" s="2">
        <v>70.016483516483504</v>
      </c>
      <c r="E101" s="2">
        <v>71.752747252747199</v>
      </c>
      <c r="F101" s="2">
        <v>70.016483516483504</v>
      </c>
      <c r="G101" s="2">
        <f t="shared" si="3"/>
        <v>211.78571428571422</v>
      </c>
      <c r="H101">
        <v>500</v>
      </c>
      <c r="I101" s="1">
        <f t="shared" si="4"/>
        <v>42.35714285714284</v>
      </c>
      <c r="J101" s="1">
        <f t="shared" si="5"/>
        <v>57.64285714285716</v>
      </c>
      <c r="L101" s="1"/>
      <c r="M101" s="1"/>
    </row>
    <row r="102" spans="1:13">
      <c r="A102" t="s">
        <v>222</v>
      </c>
      <c r="B102" t="s">
        <v>223</v>
      </c>
      <c r="C102" t="s">
        <v>46</v>
      </c>
      <c r="D102" s="2">
        <v>70.450549450549403</v>
      </c>
      <c r="E102" s="2">
        <v>72.186813186813197</v>
      </c>
      <c r="F102" s="2">
        <v>70.450549450549403</v>
      </c>
      <c r="G102" s="2">
        <f t="shared" si="3"/>
        <v>213.087912087912</v>
      </c>
      <c r="H102">
        <v>500</v>
      </c>
      <c r="I102" s="1">
        <f t="shared" si="4"/>
        <v>42.617582417582405</v>
      </c>
      <c r="J102" s="1">
        <f t="shared" si="5"/>
        <v>57.382417582417595</v>
      </c>
      <c r="L102" s="1"/>
      <c r="M102" s="1"/>
    </row>
    <row r="103" spans="1:13">
      <c r="A103" t="s">
        <v>224</v>
      </c>
      <c r="B103" t="s">
        <v>225</v>
      </c>
      <c r="C103" t="s">
        <v>49</v>
      </c>
      <c r="D103" s="2">
        <v>70.884615384615401</v>
      </c>
      <c r="E103" s="2">
        <v>72.620879120879096</v>
      </c>
      <c r="F103" s="2">
        <v>70.884615384615401</v>
      </c>
      <c r="G103" s="2">
        <f t="shared" si="3"/>
        <v>214.3901098901099</v>
      </c>
      <c r="H103">
        <v>500</v>
      </c>
      <c r="I103" s="1">
        <f t="shared" si="4"/>
        <v>42.878021978021977</v>
      </c>
      <c r="J103" s="1">
        <f t="shared" si="5"/>
        <v>57.121978021978023</v>
      </c>
      <c r="L103" s="1"/>
      <c r="M103" s="1"/>
    </row>
    <row r="104" spans="1:13">
      <c r="A104" t="s">
        <v>226</v>
      </c>
      <c r="B104" t="s">
        <v>227</v>
      </c>
      <c r="C104" t="s">
        <v>52</v>
      </c>
      <c r="D104" s="2">
        <v>71.3186813186813</v>
      </c>
      <c r="E104" s="2">
        <v>73.054945054944994</v>
      </c>
      <c r="F104" s="2">
        <v>71.3186813186813</v>
      </c>
      <c r="G104" s="2">
        <f t="shared" si="3"/>
        <v>215.69230769230757</v>
      </c>
      <c r="H104">
        <v>500</v>
      </c>
      <c r="I104" s="1">
        <f t="shared" si="4"/>
        <v>43.138461538461513</v>
      </c>
      <c r="J104" s="1">
        <f t="shared" si="5"/>
        <v>56.861538461538487</v>
      </c>
      <c r="L104" s="1"/>
      <c r="M104" s="1"/>
    </row>
    <row r="105" spans="1:13">
      <c r="A105" t="s">
        <v>228</v>
      </c>
      <c r="B105" t="s">
        <v>229</v>
      </c>
      <c r="C105" t="s">
        <v>55</v>
      </c>
      <c r="D105" s="2">
        <v>71.752747252747199</v>
      </c>
      <c r="E105">
        <v>56</v>
      </c>
      <c r="F105" s="2">
        <v>71.752747252747199</v>
      </c>
      <c r="G105" s="2">
        <f t="shared" si="3"/>
        <v>199.5054945054944</v>
      </c>
      <c r="H105">
        <v>500</v>
      </c>
      <c r="I105" s="1">
        <f t="shared" si="4"/>
        <v>39.901098901098877</v>
      </c>
      <c r="J105" s="1">
        <f t="shared" si="5"/>
        <v>60.098901098901123</v>
      </c>
      <c r="L105" s="1"/>
      <c r="M105" s="1"/>
    </row>
    <row r="106" spans="1:13">
      <c r="A106" t="s">
        <v>230</v>
      </c>
      <c r="B106" t="s">
        <v>231</v>
      </c>
      <c r="C106" t="s">
        <v>34</v>
      </c>
      <c r="D106" s="2">
        <v>72.186813186813197</v>
      </c>
      <c r="E106">
        <v>45</v>
      </c>
      <c r="F106" s="2">
        <v>72.186813186813197</v>
      </c>
      <c r="G106" s="2">
        <f t="shared" si="3"/>
        <v>189.37362637362639</v>
      </c>
      <c r="H106">
        <v>500</v>
      </c>
      <c r="I106" s="1">
        <f t="shared" si="4"/>
        <v>37.874725274725279</v>
      </c>
      <c r="J106" s="1">
        <f t="shared" si="5"/>
        <v>62.125274725274721</v>
      </c>
      <c r="L106" s="1"/>
      <c r="M106" s="1"/>
    </row>
    <row r="107" spans="1:13">
      <c r="A107" t="s">
        <v>232</v>
      </c>
      <c r="B107" t="s">
        <v>233</v>
      </c>
      <c r="C107" t="s">
        <v>37</v>
      </c>
      <c r="D107" s="2">
        <v>72.620879120879096</v>
      </c>
      <c r="E107">
        <v>67</v>
      </c>
      <c r="F107" s="2">
        <v>72.620879120879096</v>
      </c>
      <c r="G107" s="2">
        <f t="shared" si="3"/>
        <v>212.24175824175819</v>
      </c>
      <c r="H107">
        <v>500</v>
      </c>
      <c r="I107" s="1">
        <f t="shared" si="4"/>
        <v>42.448351648351633</v>
      </c>
      <c r="J107" s="1">
        <f t="shared" si="5"/>
        <v>57.551648351648367</v>
      </c>
      <c r="L107" s="1"/>
      <c r="M107" s="1"/>
    </row>
    <row r="108" spans="1:13">
      <c r="A108" t="s">
        <v>234</v>
      </c>
      <c r="B108" t="s">
        <v>235</v>
      </c>
      <c r="C108" t="s">
        <v>40</v>
      </c>
      <c r="D108" s="2">
        <v>73.054945054944994</v>
      </c>
      <c r="E108">
        <v>54</v>
      </c>
      <c r="F108" s="2">
        <v>73.054945054944994</v>
      </c>
      <c r="G108" s="2">
        <f t="shared" si="3"/>
        <v>200.10989010988999</v>
      </c>
      <c r="H108">
        <v>500</v>
      </c>
      <c r="I108" s="1">
        <f t="shared" si="4"/>
        <v>40.021978021978001</v>
      </c>
      <c r="J108" s="1">
        <f t="shared" si="5"/>
        <v>59.978021978021999</v>
      </c>
      <c r="L108" s="1"/>
      <c r="M108" s="1"/>
    </row>
    <row r="109" spans="1:13">
      <c r="A109" t="s">
        <v>236</v>
      </c>
      <c r="B109" t="s">
        <v>237</v>
      </c>
      <c r="C109" t="s">
        <v>43</v>
      </c>
      <c r="D109" s="2">
        <v>73.489010989011007</v>
      </c>
      <c r="E109">
        <v>67</v>
      </c>
      <c r="F109" s="2">
        <v>73.489010989011007</v>
      </c>
      <c r="G109" s="2">
        <f t="shared" si="3"/>
        <v>213.97802197802201</v>
      </c>
      <c r="H109">
        <v>500</v>
      </c>
      <c r="I109" s="1">
        <f t="shared" si="4"/>
        <v>42.7956043956044</v>
      </c>
      <c r="J109" s="1">
        <f t="shared" si="5"/>
        <v>57.2043956043956</v>
      </c>
      <c r="L109" s="1"/>
      <c r="M109" s="1"/>
    </row>
    <row r="110" spans="1:13">
      <c r="A110" t="s">
        <v>238</v>
      </c>
      <c r="B110" t="s">
        <v>11</v>
      </c>
      <c r="C110" t="s">
        <v>46</v>
      </c>
      <c r="D110" s="2">
        <v>73.923076923076906</v>
      </c>
      <c r="E110">
        <v>78</v>
      </c>
      <c r="F110" s="2">
        <v>73.923076923076906</v>
      </c>
      <c r="G110" s="2">
        <f t="shared" si="3"/>
        <v>225.84615384615381</v>
      </c>
      <c r="H110">
        <v>500</v>
      </c>
      <c r="I110" s="1">
        <f t="shared" si="4"/>
        <v>45.169230769230765</v>
      </c>
      <c r="J110" s="1">
        <f t="shared" si="5"/>
        <v>54.830769230769235</v>
      </c>
      <c r="L110" s="1"/>
      <c r="M110" s="1"/>
    </row>
    <row r="111" spans="1:13">
      <c r="A111" t="s">
        <v>239</v>
      </c>
      <c r="B111" t="s">
        <v>21</v>
      </c>
      <c r="C111" t="s">
        <v>49</v>
      </c>
      <c r="D111" s="2">
        <v>74.357142857142804</v>
      </c>
      <c r="E111">
        <v>98</v>
      </c>
      <c r="F111" s="2">
        <v>74.357142857142804</v>
      </c>
      <c r="G111" s="2">
        <f t="shared" si="3"/>
        <v>246.71428571428561</v>
      </c>
      <c r="H111">
        <v>500</v>
      </c>
      <c r="I111" s="1">
        <f t="shared" si="4"/>
        <v>49.34285714285712</v>
      </c>
      <c r="J111" s="1">
        <f t="shared" si="5"/>
        <v>50.65714285714288</v>
      </c>
      <c r="L111" s="1"/>
      <c r="M111" s="1"/>
    </row>
    <row r="112" spans="1:13">
      <c r="A112" t="s">
        <v>240</v>
      </c>
      <c r="B112" t="s">
        <v>241</v>
      </c>
      <c r="C112" t="s">
        <v>52</v>
      </c>
      <c r="D112" s="2">
        <v>74.791208791208803</v>
      </c>
      <c r="E112">
        <v>67</v>
      </c>
      <c r="F112" s="2">
        <v>74.791208791208803</v>
      </c>
      <c r="G112" s="2">
        <f t="shared" si="3"/>
        <v>216.58241758241763</v>
      </c>
      <c r="H112">
        <v>500</v>
      </c>
      <c r="I112" s="1">
        <f t="shared" si="4"/>
        <v>43.316483516483522</v>
      </c>
      <c r="J112" s="1">
        <f t="shared" si="5"/>
        <v>56.683516483516478</v>
      </c>
      <c r="L112" s="1"/>
      <c r="M112" s="1"/>
    </row>
    <row r="113" spans="1:13">
      <c r="A113" t="s">
        <v>242</v>
      </c>
      <c r="B113" t="s">
        <v>243</v>
      </c>
      <c r="C113" t="s">
        <v>55</v>
      </c>
      <c r="D113" s="2">
        <v>75.225274725274701</v>
      </c>
      <c r="E113">
        <v>45</v>
      </c>
      <c r="F113" s="2">
        <v>75.225274725274701</v>
      </c>
      <c r="G113" s="2">
        <f t="shared" si="3"/>
        <v>195.4505494505494</v>
      </c>
      <c r="H113">
        <v>500</v>
      </c>
      <c r="I113" s="1">
        <f t="shared" si="4"/>
        <v>39.090109890109879</v>
      </c>
      <c r="J113" s="1">
        <f t="shared" si="5"/>
        <v>60.909890109890121</v>
      </c>
      <c r="L113" s="1"/>
      <c r="M113" s="1"/>
    </row>
    <row r="114" spans="1:13">
      <c r="A114" t="s">
        <v>244</v>
      </c>
      <c r="B114" t="s">
        <v>245</v>
      </c>
      <c r="C114" t="s">
        <v>34</v>
      </c>
      <c r="D114" s="2">
        <v>75.6593406593406</v>
      </c>
      <c r="E114">
        <v>32</v>
      </c>
      <c r="F114" s="2">
        <v>75.6593406593406</v>
      </c>
      <c r="G114" s="2">
        <f t="shared" si="3"/>
        <v>183.3186813186812</v>
      </c>
      <c r="H114">
        <v>500</v>
      </c>
      <c r="I114" s="1">
        <f t="shared" si="4"/>
        <v>36.66373626373624</v>
      </c>
      <c r="J114" s="1">
        <f t="shared" si="5"/>
        <v>63.33626373626376</v>
      </c>
      <c r="L114" s="1"/>
      <c r="M114" s="1"/>
    </row>
    <row r="115" spans="1:13">
      <c r="A115" t="s">
        <v>246</v>
      </c>
      <c r="B115" t="s">
        <v>247</v>
      </c>
      <c r="C115" t="s">
        <v>37</v>
      </c>
      <c r="D115" s="2">
        <v>76.093406593406598</v>
      </c>
      <c r="E115">
        <v>45</v>
      </c>
      <c r="F115" s="2">
        <v>76.093406593406598</v>
      </c>
      <c r="G115" s="2">
        <f t="shared" si="3"/>
        <v>197.1868131868132</v>
      </c>
      <c r="H115">
        <v>500</v>
      </c>
      <c r="I115" s="1">
        <f t="shared" si="4"/>
        <v>39.437362637362639</v>
      </c>
      <c r="J115" s="1">
        <f t="shared" si="5"/>
        <v>60.562637362637361</v>
      </c>
      <c r="L115" s="1"/>
      <c r="M115" s="1"/>
    </row>
    <row r="116" spans="1:13">
      <c r="A116" t="s">
        <v>248</v>
      </c>
      <c r="B116" t="s">
        <v>249</v>
      </c>
      <c r="C116" t="s">
        <v>40</v>
      </c>
      <c r="D116" s="2">
        <v>76.527472527472497</v>
      </c>
      <c r="E116">
        <v>65</v>
      </c>
      <c r="F116" s="2">
        <v>76.527472527472497</v>
      </c>
      <c r="G116" s="2">
        <f t="shared" si="3"/>
        <v>218.05494505494499</v>
      </c>
      <c r="H116">
        <v>500</v>
      </c>
      <c r="I116" s="1">
        <f t="shared" si="4"/>
        <v>43.610989010988995</v>
      </c>
      <c r="J116" s="1">
        <f t="shared" si="5"/>
        <v>56.389010989011005</v>
      </c>
      <c r="L116" s="1"/>
      <c r="M116" s="1"/>
    </row>
    <row r="117" spans="1:13">
      <c r="A117" t="s">
        <v>250</v>
      </c>
      <c r="B117" t="s">
        <v>251</v>
      </c>
      <c r="C117" t="s">
        <v>43</v>
      </c>
      <c r="D117" s="2">
        <v>76.961538461538396</v>
      </c>
      <c r="E117">
        <v>87</v>
      </c>
      <c r="F117" s="2">
        <v>76.961538461538396</v>
      </c>
      <c r="G117" s="2">
        <f t="shared" si="3"/>
        <v>240.92307692307679</v>
      </c>
      <c r="H117">
        <v>500</v>
      </c>
      <c r="I117" s="1">
        <f t="shared" si="4"/>
        <v>48.184615384615363</v>
      </c>
      <c r="J117" s="1">
        <f t="shared" si="5"/>
        <v>51.815384615384637</v>
      </c>
      <c r="L117" s="1"/>
      <c r="M117" s="1"/>
    </row>
    <row r="118" spans="1:13">
      <c r="A118" t="s">
        <v>252</v>
      </c>
      <c r="B118" t="s">
        <v>253</v>
      </c>
      <c r="C118" t="s">
        <v>46</v>
      </c>
      <c r="D118" s="2">
        <v>77.395604395604394</v>
      </c>
      <c r="E118">
        <v>56</v>
      </c>
      <c r="F118" s="2">
        <v>77.395604395604394</v>
      </c>
      <c r="G118" s="2">
        <f t="shared" si="3"/>
        <v>210.79120879120876</v>
      </c>
      <c r="H118">
        <v>500</v>
      </c>
      <c r="I118" s="1">
        <f t="shared" si="4"/>
        <v>42.158241758241758</v>
      </c>
      <c r="J118" s="1">
        <f t="shared" si="5"/>
        <v>57.841758241758242</v>
      </c>
      <c r="L118" s="1"/>
      <c r="M118" s="1"/>
    </row>
    <row r="119" spans="1:13">
      <c r="A119" t="s">
        <v>254</v>
      </c>
      <c r="B119" t="s">
        <v>255</v>
      </c>
      <c r="C119" t="s">
        <v>49</v>
      </c>
      <c r="D119" s="2">
        <v>77.829670329670293</v>
      </c>
      <c r="E119">
        <v>45</v>
      </c>
      <c r="F119" s="2">
        <v>77.829670329670293</v>
      </c>
      <c r="G119" s="2">
        <f t="shared" si="3"/>
        <v>200.65934065934059</v>
      </c>
      <c r="H119">
        <v>500</v>
      </c>
      <c r="I119" s="1">
        <f t="shared" si="4"/>
        <v>40.131868131868117</v>
      </c>
      <c r="J119" s="1">
        <f t="shared" si="5"/>
        <v>59.868131868131883</v>
      </c>
      <c r="L119" s="1"/>
      <c r="M119" s="1"/>
    </row>
    <row r="120" spans="1:13">
      <c r="A120" t="s">
        <v>256</v>
      </c>
      <c r="B120" t="s">
        <v>257</v>
      </c>
      <c r="C120" t="s">
        <v>52</v>
      </c>
      <c r="D120" s="2">
        <v>78.263736263736206</v>
      </c>
      <c r="E120">
        <v>67</v>
      </c>
      <c r="F120" s="2">
        <v>78.263736263736206</v>
      </c>
      <c r="G120" s="2">
        <f t="shared" si="3"/>
        <v>223.52747252747241</v>
      </c>
      <c r="H120">
        <v>500</v>
      </c>
      <c r="I120" s="1">
        <f t="shared" si="4"/>
        <v>44.705494505494485</v>
      </c>
      <c r="J120" s="1">
        <f t="shared" si="5"/>
        <v>55.294505494505515</v>
      </c>
      <c r="L120" s="1"/>
      <c r="M120" s="1"/>
    </row>
    <row r="121" spans="1:13">
      <c r="A121" t="s">
        <v>258</v>
      </c>
      <c r="B121" t="s">
        <v>259</v>
      </c>
      <c r="C121" t="s">
        <v>55</v>
      </c>
      <c r="D121" s="2">
        <v>78.697802197802204</v>
      </c>
      <c r="E121">
        <v>54</v>
      </c>
      <c r="F121" s="2">
        <v>78.697802197802204</v>
      </c>
      <c r="G121" s="2">
        <f t="shared" si="3"/>
        <v>211.39560439560444</v>
      </c>
      <c r="H121">
        <v>500</v>
      </c>
      <c r="I121" s="1">
        <f t="shared" si="4"/>
        <v>42.279120879120882</v>
      </c>
      <c r="J121" s="1">
        <f t="shared" si="5"/>
        <v>57.720879120879118</v>
      </c>
      <c r="L121" s="1"/>
      <c r="M121" s="1"/>
    </row>
    <row r="122" spans="1:13">
      <c r="A122" t="s">
        <v>260</v>
      </c>
      <c r="B122" t="s">
        <v>261</v>
      </c>
      <c r="C122" t="s">
        <v>34</v>
      </c>
      <c r="D122" s="2">
        <v>79.131868131868103</v>
      </c>
      <c r="E122">
        <v>67</v>
      </c>
      <c r="F122" s="2">
        <v>79.131868131868103</v>
      </c>
      <c r="G122" s="2">
        <f t="shared" si="3"/>
        <v>225.26373626373618</v>
      </c>
      <c r="H122">
        <v>500</v>
      </c>
      <c r="I122" s="1">
        <f t="shared" si="4"/>
        <v>45.052747252747231</v>
      </c>
      <c r="J122" s="1">
        <f t="shared" si="5"/>
        <v>54.947252747252769</v>
      </c>
      <c r="L122" s="1"/>
      <c r="M122" s="1"/>
    </row>
    <row r="123" spans="1:13">
      <c r="A123" t="s">
        <v>262</v>
      </c>
      <c r="B123" t="s">
        <v>263</v>
      </c>
      <c r="C123" t="s">
        <v>37</v>
      </c>
      <c r="D123" s="2">
        <v>79.565934065934002</v>
      </c>
      <c r="E123">
        <v>78</v>
      </c>
      <c r="F123" s="2">
        <v>79.565934065934002</v>
      </c>
      <c r="G123" s="2">
        <f t="shared" si="3"/>
        <v>237.13186813186803</v>
      </c>
      <c r="H123">
        <v>500</v>
      </c>
      <c r="I123" s="1">
        <f t="shared" si="4"/>
        <v>47.426373626373604</v>
      </c>
      <c r="J123" s="1">
        <f t="shared" si="5"/>
        <v>52.573626373626396</v>
      </c>
      <c r="L123" s="1"/>
      <c r="M123" s="1"/>
    </row>
    <row r="124" spans="1:13">
      <c r="A124" t="s">
        <v>264</v>
      </c>
      <c r="B124" t="s">
        <v>265</v>
      </c>
      <c r="C124" t="s">
        <v>40</v>
      </c>
      <c r="D124" s="2">
        <v>80</v>
      </c>
      <c r="E124">
        <v>98</v>
      </c>
      <c r="F124" s="2">
        <v>80</v>
      </c>
      <c r="G124" s="2">
        <f t="shared" si="3"/>
        <v>258</v>
      </c>
      <c r="H124">
        <v>500</v>
      </c>
      <c r="I124" s="1">
        <f t="shared" si="4"/>
        <v>51.6</v>
      </c>
      <c r="J124" s="1">
        <f t="shared" si="5"/>
        <v>48.4</v>
      </c>
      <c r="L124" s="1"/>
      <c r="M124" s="1"/>
    </row>
    <row r="125" spans="1:13">
      <c r="A125" t="s">
        <v>266</v>
      </c>
      <c r="B125" t="s">
        <v>267</v>
      </c>
      <c r="C125" t="s">
        <v>43</v>
      </c>
      <c r="D125" s="2">
        <v>80.434065934065899</v>
      </c>
      <c r="E125">
        <v>67</v>
      </c>
      <c r="F125" s="2">
        <v>80.434065934065899</v>
      </c>
      <c r="G125" s="2">
        <f t="shared" si="3"/>
        <v>227.8681318681318</v>
      </c>
      <c r="H125">
        <v>500</v>
      </c>
      <c r="I125" s="1">
        <f t="shared" si="4"/>
        <v>45.573626373626354</v>
      </c>
      <c r="J125" s="1">
        <f t="shared" si="5"/>
        <v>54.426373626373646</v>
      </c>
      <c r="L125" s="1"/>
      <c r="M125" s="1"/>
    </row>
    <row r="126" spans="1:13">
      <c r="A126" t="s">
        <v>268</v>
      </c>
      <c r="B126" t="s">
        <v>269</v>
      </c>
      <c r="C126" t="s">
        <v>46</v>
      </c>
      <c r="D126" s="2">
        <v>80.868131868131798</v>
      </c>
      <c r="E126">
        <v>45</v>
      </c>
      <c r="F126" s="2">
        <v>80.868131868131798</v>
      </c>
      <c r="G126" s="2">
        <f t="shared" si="3"/>
        <v>206.7362637362636</v>
      </c>
      <c r="H126">
        <v>500</v>
      </c>
      <c r="I126" s="1">
        <f t="shared" si="4"/>
        <v>41.347252747252725</v>
      </c>
      <c r="J126" s="1">
        <f t="shared" si="5"/>
        <v>58.652747252747275</v>
      </c>
      <c r="L126" s="1"/>
      <c r="M126" s="1"/>
    </row>
    <row r="127" spans="1:13">
      <c r="A127" t="s">
        <v>270</v>
      </c>
      <c r="B127" t="s">
        <v>271</v>
      </c>
      <c r="C127" t="s">
        <v>49</v>
      </c>
      <c r="D127" s="2">
        <v>81.302197802197796</v>
      </c>
      <c r="E127">
        <v>32</v>
      </c>
      <c r="F127" s="2">
        <v>81.302197802197796</v>
      </c>
      <c r="G127" s="2">
        <f t="shared" si="3"/>
        <v>194.60439560439559</v>
      </c>
      <c r="H127">
        <v>500</v>
      </c>
      <c r="I127" s="1">
        <f t="shared" si="4"/>
        <v>38.920879120879114</v>
      </c>
      <c r="J127" s="1">
        <f t="shared" si="5"/>
        <v>61.079120879120886</v>
      </c>
      <c r="L127" s="1"/>
      <c r="M127" s="1"/>
    </row>
    <row r="128" spans="1:13">
      <c r="A128" t="s">
        <v>272</v>
      </c>
      <c r="B128" t="s">
        <v>273</v>
      </c>
      <c r="C128" t="s">
        <v>52</v>
      </c>
      <c r="D128" s="2">
        <v>81.736263736263695</v>
      </c>
      <c r="E128">
        <v>45</v>
      </c>
      <c r="F128" s="2">
        <v>81.736263736263695</v>
      </c>
      <c r="G128" s="2">
        <f t="shared" si="3"/>
        <v>208.47252747252739</v>
      </c>
      <c r="H128">
        <v>500</v>
      </c>
      <c r="I128" s="1">
        <f t="shared" si="4"/>
        <v>41.694505494505478</v>
      </c>
      <c r="J128" s="1">
        <f t="shared" si="5"/>
        <v>58.305494505494522</v>
      </c>
      <c r="L128" s="1"/>
      <c r="M128" s="1"/>
    </row>
    <row r="129" spans="1:13">
      <c r="A129" t="s">
        <v>274</v>
      </c>
      <c r="B129" t="s">
        <v>275</v>
      </c>
      <c r="C129" t="s">
        <v>55</v>
      </c>
      <c r="D129" s="2">
        <v>82.170329670329707</v>
      </c>
      <c r="E129">
        <v>65</v>
      </c>
      <c r="F129" s="2">
        <v>82.170329670329707</v>
      </c>
      <c r="G129" s="2">
        <f t="shared" si="3"/>
        <v>229.34065934065939</v>
      </c>
      <c r="H129">
        <v>500</v>
      </c>
      <c r="I129" s="1">
        <f t="shared" si="4"/>
        <v>45.868131868131883</v>
      </c>
      <c r="J129" s="1">
        <f t="shared" si="5"/>
        <v>54.131868131868117</v>
      </c>
      <c r="L129" s="1"/>
      <c r="M129" s="1"/>
    </row>
    <row r="130" spans="1:13">
      <c r="A130" t="s">
        <v>276</v>
      </c>
      <c r="B130" t="s">
        <v>277</v>
      </c>
      <c r="C130" t="s">
        <v>34</v>
      </c>
      <c r="D130" s="2">
        <v>82.604395604395606</v>
      </c>
      <c r="E130">
        <v>87</v>
      </c>
      <c r="F130" s="2">
        <v>82.604395604395606</v>
      </c>
      <c r="G130" s="2">
        <f t="shared" si="3"/>
        <v>252.20879120879124</v>
      </c>
      <c r="H130">
        <v>500</v>
      </c>
      <c r="I130" s="1">
        <f t="shared" si="4"/>
        <v>50.441758241758244</v>
      </c>
      <c r="J130" s="1">
        <f t="shared" si="5"/>
        <v>49.558241758241756</v>
      </c>
      <c r="L130" s="1"/>
      <c r="M130" s="1"/>
    </row>
    <row r="131" spans="1:13">
      <c r="A131" t="s">
        <v>278</v>
      </c>
      <c r="B131" t="s">
        <v>279</v>
      </c>
      <c r="C131" t="s">
        <v>37</v>
      </c>
      <c r="D131" s="2">
        <v>83.038461538461505</v>
      </c>
      <c r="E131">
        <v>56</v>
      </c>
      <c r="F131" s="2">
        <v>83.038461538461505</v>
      </c>
      <c r="G131" s="2">
        <f t="shared" ref="G131:G142" si="6">SUM(D131:F131)</f>
        <v>222.07692307692298</v>
      </c>
      <c r="H131">
        <v>500</v>
      </c>
      <c r="I131" s="1">
        <f t="shared" ref="I131:I142" si="7">G131*100/H131</f>
        <v>44.415384615384596</v>
      </c>
      <c r="J131" s="1">
        <f t="shared" ref="J131:J142" si="8">100-I131</f>
        <v>55.584615384615404</v>
      </c>
      <c r="L131" s="1"/>
      <c r="M131" s="1"/>
    </row>
    <row r="132" spans="1:13">
      <c r="A132" t="s">
        <v>280</v>
      </c>
      <c r="B132" t="s">
        <v>281</v>
      </c>
      <c r="C132" t="s">
        <v>40</v>
      </c>
      <c r="D132" s="2">
        <v>83.472527472527403</v>
      </c>
      <c r="E132">
        <v>45</v>
      </c>
      <c r="F132" s="2">
        <v>83.472527472527403</v>
      </c>
      <c r="G132" s="2">
        <f t="shared" si="6"/>
        <v>211.94505494505484</v>
      </c>
      <c r="H132">
        <v>500</v>
      </c>
      <c r="I132" s="1">
        <f t="shared" si="7"/>
        <v>42.38901098901097</v>
      </c>
      <c r="J132" s="1">
        <f t="shared" si="8"/>
        <v>57.61098901098903</v>
      </c>
      <c r="L132" s="1"/>
      <c r="M132" s="1"/>
    </row>
    <row r="133" spans="1:13">
      <c r="A133" t="s">
        <v>282</v>
      </c>
      <c r="B133" t="s">
        <v>17</v>
      </c>
      <c r="C133" t="s">
        <v>43</v>
      </c>
      <c r="D133" s="2">
        <v>83.906593406593402</v>
      </c>
      <c r="E133">
        <v>67</v>
      </c>
      <c r="F133" s="2">
        <v>83.906593406593402</v>
      </c>
      <c r="G133" s="2">
        <f t="shared" si="6"/>
        <v>234.8131868131868</v>
      </c>
      <c r="H133">
        <v>500</v>
      </c>
      <c r="I133" s="1">
        <f t="shared" si="7"/>
        <v>46.962637362637359</v>
      </c>
      <c r="J133" s="1">
        <f t="shared" si="8"/>
        <v>53.037362637362641</v>
      </c>
      <c r="L133" s="1"/>
      <c r="M133" s="1"/>
    </row>
    <row r="134" spans="1:13">
      <c r="A134" t="s">
        <v>283</v>
      </c>
      <c r="B134" t="s">
        <v>15</v>
      </c>
      <c r="C134" t="s">
        <v>46</v>
      </c>
      <c r="D134" s="2">
        <v>84.3406593406593</v>
      </c>
      <c r="E134">
        <v>54</v>
      </c>
      <c r="F134" s="2">
        <v>84.3406593406593</v>
      </c>
      <c r="G134" s="2">
        <f t="shared" si="6"/>
        <v>222.6813186813186</v>
      </c>
      <c r="H134">
        <v>500</v>
      </c>
      <c r="I134" s="1">
        <f t="shared" si="7"/>
        <v>44.53626373626372</v>
      </c>
      <c r="J134" s="1">
        <f t="shared" si="8"/>
        <v>55.46373626373628</v>
      </c>
      <c r="L134" s="1"/>
      <c r="M134" s="1"/>
    </row>
    <row r="135" spans="1:13">
      <c r="A135" t="s">
        <v>284</v>
      </c>
      <c r="B135" t="s">
        <v>21</v>
      </c>
      <c r="C135" t="s">
        <v>49</v>
      </c>
      <c r="D135" s="2">
        <v>84.774725274725299</v>
      </c>
      <c r="E135">
        <v>67</v>
      </c>
      <c r="F135" s="2">
        <v>84.774725274725299</v>
      </c>
      <c r="G135" s="2">
        <f t="shared" si="6"/>
        <v>236.54945054945063</v>
      </c>
      <c r="H135">
        <v>500</v>
      </c>
      <c r="I135" s="1">
        <f t="shared" si="7"/>
        <v>47.309890109890127</v>
      </c>
      <c r="J135" s="1">
        <f t="shared" si="8"/>
        <v>52.690109890109873</v>
      </c>
      <c r="L135" s="1"/>
      <c r="M135" s="1"/>
    </row>
    <row r="136" spans="1:13">
      <c r="A136" t="s">
        <v>285</v>
      </c>
      <c r="B136" t="s">
        <v>286</v>
      </c>
      <c r="C136" t="s">
        <v>52</v>
      </c>
      <c r="D136" s="2">
        <v>85.208791208791197</v>
      </c>
      <c r="E136">
        <v>78</v>
      </c>
      <c r="F136" s="2">
        <v>85.208791208791197</v>
      </c>
      <c r="G136" s="2">
        <f t="shared" si="6"/>
        <v>248.41758241758237</v>
      </c>
      <c r="H136">
        <v>500</v>
      </c>
      <c r="I136" s="1">
        <f t="shared" si="7"/>
        <v>49.683516483516478</v>
      </c>
      <c r="J136" s="1">
        <f t="shared" si="8"/>
        <v>50.316483516483522</v>
      </c>
      <c r="L136" s="1"/>
      <c r="M136" s="1"/>
    </row>
    <row r="137" spans="1:13">
      <c r="A137" t="s">
        <v>287</v>
      </c>
      <c r="B137" t="s">
        <v>288</v>
      </c>
      <c r="C137" t="s">
        <v>55</v>
      </c>
      <c r="D137" s="2">
        <v>85.642857142857096</v>
      </c>
      <c r="E137">
        <v>98</v>
      </c>
      <c r="F137" s="2">
        <v>85.642857142857096</v>
      </c>
      <c r="G137" s="2">
        <f t="shared" si="6"/>
        <v>269.28571428571422</v>
      </c>
      <c r="H137">
        <v>500</v>
      </c>
      <c r="I137" s="1">
        <f t="shared" si="7"/>
        <v>53.85714285714284</v>
      </c>
      <c r="J137" s="1">
        <f t="shared" si="8"/>
        <v>46.14285714285716</v>
      </c>
      <c r="L137" s="1"/>
      <c r="M137" s="1"/>
    </row>
    <row r="138" spans="1:13">
      <c r="A138" t="s">
        <v>289</v>
      </c>
      <c r="B138" t="s">
        <v>290</v>
      </c>
      <c r="C138" t="s">
        <v>34</v>
      </c>
      <c r="D138" s="2">
        <v>86.076923076923094</v>
      </c>
      <c r="E138">
        <v>67</v>
      </c>
      <c r="F138" s="2">
        <v>86.076923076923094</v>
      </c>
      <c r="G138" s="2">
        <f t="shared" si="6"/>
        <v>239.15384615384619</v>
      </c>
      <c r="H138">
        <v>500</v>
      </c>
      <c r="I138" s="1">
        <f t="shared" si="7"/>
        <v>47.830769230769235</v>
      </c>
      <c r="J138" s="1">
        <f t="shared" si="8"/>
        <v>52.169230769230765</v>
      </c>
      <c r="L138" s="1"/>
      <c r="M138" s="1"/>
    </row>
    <row r="139" spans="1:13">
      <c r="A139" t="s">
        <v>291</v>
      </c>
      <c r="B139" t="s">
        <v>6</v>
      </c>
      <c r="C139" t="s">
        <v>37</v>
      </c>
      <c r="D139" s="2">
        <v>86.510989010988993</v>
      </c>
      <c r="E139">
        <v>45</v>
      </c>
      <c r="F139" s="2">
        <v>86.510989010988993</v>
      </c>
      <c r="G139" s="2">
        <f t="shared" si="6"/>
        <v>218.02197802197799</v>
      </c>
      <c r="H139">
        <v>500</v>
      </c>
      <c r="I139" s="1">
        <f t="shared" si="7"/>
        <v>43.604395604395599</v>
      </c>
      <c r="J139" s="1">
        <f t="shared" si="8"/>
        <v>56.395604395604401</v>
      </c>
      <c r="L139" s="1"/>
      <c r="M139" s="1"/>
    </row>
    <row r="140" spans="1:13">
      <c r="A140" t="s">
        <v>292</v>
      </c>
      <c r="B140" t="s">
        <v>9</v>
      </c>
      <c r="C140" t="s">
        <v>40</v>
      </c>
      <c r="D140" s="2">
        <v>86.945054945054906</v>
      </c>
      <c r="E140">
        <v>32</v>
      </c>
      <c r="F140" s="2">
        <v>86.945054945054906</v>
      </c>
      <c r="G140" s="2">
        <f t="shared" si="6"/>
        <v>205.89010989010981</v>
      </c>
      <c r="H140">
        <v>500</v>
      </c>
      <c r="I140" s="1">
        <f t="shared" si="7"/>
        <v>41.17802197802196</v>
      </c>
      <c r="J140" s="1">
        <f t="shared" si="8"/>
        <v>58.82197802197804</v>
      </c>
      <c r="L140" s="1"/>
      <c r="M140" s="1"/>
    </row>
    <row r="141" spans="1:13">
      <c r="A141" t="s">
        <v>293</v>
      </c>
      <c r="B141" t="s">
        <v>294</v>
      </c>
      <c r="C141" t="s">
        <v>43</v>
      </c>
      <c r="D141" s="2">
        <v>87.379120879120904</v>
      </c>
      <c r="E141">
        <v>45</v>
      </c>
      <c r="F141" s="2">
        <v>87.379120879120904</v>
      </c>
      <c r="G141" s="2">
        <f t="shared" si="6"/>
        <v>219.75824175824181</v>
      </c>
      <c r="H141">
        <v>500</v>
      </c>
      <c r="I141" s="1">
        <f t="shared" si="7"/>
        <v>43.951648351648366</v>
      </c>
      <c r="J141" s="1">
        <f t="shared" si="8"/>
        <v>56.048351648351634</v>
      </c>
      <c r="L141" s="1"/>
      <c r="M141" s="1"/>
    </row>
    <row r="142" spans="1:13">
      <c r="A142" t="s">
        <v>295</v>
      </c>
      <c r="B142" t="s">
        <v>19</v>
      </c>
      <c r="C142" t="s">
        <v>46</v>
      </c>
      <c r="D142" s="2">
        <v>87.813186813186803</v>
      </c>
      <c r="E142">
        <v>65</v>
      </c>
      <c r="F142" s="2">
        <v>87.813186813186803</v>
      </c>
      <c r="G142" s="2">
        <f t="shared" si="6"/>
        <v>240.62637362637361</v>
      </c>
      <c r="H142">
        <v>500</v>
      </c>
      <c r="I142" s="1">
        <f t="shared" si="7"/>
        <v>48.125274725274721</v>
      </c>
      <c r="J142" s="1">
        <f t="shared" si="8"/>
        <v>51.874725274725279</v>
      </c>
      <c r="L142" s="1"/>
      <c r="M142" s="1"/>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Saziya Naushad</dc:creator>
  <cp:keywords/>
  <dc:description/>
  <cp:lastModifiedBy/>
  <cp:revision/>
  <dcterms:created xsi:type="dcterms:W3CDTF">2025-07-12T10:47:45Z</dcterms:created>
  <dcterms:modified xsi:type="dcterms:W3CDTF">2026-09-19T16:25:33Z</dcterms:modified>
  <cp:category/>
  <cp:contentStatus/>
</cp:coreProperties>
</file>